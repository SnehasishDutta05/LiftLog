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590f2b014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bohydrate Sources" sheetId="1" r:id="Re9a01ce060a14e2c"/>
    <x:sheet xmlns:r="http://schemas.openxmlformats.org/officeDocument/2006/relationships" name="Fat Sources" sheetId="2" r:id="R5c72a6f2fb334bc6"/>
    <x:sheet xmlns:r="http://schemas.openxmlformats.org/officeDocument/2006/relationships" name="Sources and Notes" sheetId="3" r:id="Rbdf0ea1e7aaa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5">
    <x:font>
      <x:sz val="11"/>
      <x:name val="Carlito"/>
    </x:font>
    <x:font>
      <x:sz val="10"/>
      <x:color rgb="FF24352E"/>
      <x:name val="Arial"/>
    </x:font>
    <x:font>
      <x:b/>
      <x:sz val="10"/>
      <x:color rgb="FFFFFFFF"/>
      <x:name val="Arial"/>
    </x:font>
    <x:font>
      <x:b/>
      <x:sz val="14"/>
      <x:color rgb="FF164B3B"/>
      <x:name val="Arial"/>
    </x:font>
    <x:font>
      <x:b/>
      <x:sz val="10"/>
      <x:color rgb="FF2435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EF6F1"/>
      </x:patternFill>
    </x:fill>
    <x:fill>
      <x:patternFill patternType="solid">
        <x:fgColor rgb="FF164B3B"/>
      </x:patternFill>
    </x:fill>
    <x:fill>
      <x:patternFill patternType="solid">
        <x:fgColor rgb="FFF8F3E9"/>
      </x:patternFill>
    </x:fill>
    <x:fill>
      <x:patternFill patternType="solid">
        <x:fgColor rgb="FF765124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d825240a24e80" /><Relationship Type="http://schemas.openxmlformats.org/officeDocument/2006/relationships/theme" Target="/xl/theme/theme1.xml" Id="Re4eccaf383c34c68" /><Relationship Type="http://schemas.openxmlformats.org/officeDocument/2006/relationships/sharedStrings" Target="/xl/sharedStrings.xml" Id="Rfc97d1638c0e4197" /><Relationship Type="http://schemas.openxmlformats.org/officeDocument/2006/relationships/worksheet" Target="/xl/worksheets/sheet1.xml" Id="Re9a01ce060a14e2c" /><Relationship Type="http://schemas.openxmlformats.org/officeDocument/2006/relationships/worksheet" Target="/xl/worksheets/sheet2.xml" Id="R5c72a6f2fb334bc6" /><Relationship Type="http://schemas.openxmlformats.org/officeDocument/2006/relationships/worksheet" Target="/xl/worksheets/sheet3.xml" Id="Rbdf0ea1e7aaa4060" /></Relationships>
</file>

<file path=xl/tables/table1.xml><?xml version="1.0" encoding="utf-8"?>
<x:table xmlns:x="http://schemas.openxmlformats.org/spreadsheetml/2006/main" id="1" name="CarbohydrateFoods" displayName="CarbohydrateFoods" ref="A1:L101" headerRowCount="1" totalsRowCount="0" totalsRowShown="0">
  <x:tableColumns count="12">
    <x:tableColumn id="1" name="slno."/>
    <x:tableColumn id="2" name="food"/>
    <x:tableColumn id="3" name="protein_per_100"/>
    <x:tableColumn id="4" name="carbs_per_100"/>
    <x:tableColumn id="5" name="fats_per_100"/>
    <x:tableColumn id="6" name="calories_per_100"/>
    <x:tableColumn id="7" name="common_measured_unit1"/>
    <x:tableColumn id="8" name="weight1"/>
    <x:tableColumn id="9" name="common_measured_unit2"/>
    <x:tableColumn id="10" name="weight2"/>
    <x:tableColumn id="11" name="common_measured_unit3"/>
    <x:tableColumn id="12" name="weight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tFoods" displayName="FatFoods" ref="A1:L101" headerRowCount="1" totalsRowCount="0" totalsRowShown="0">
  <x:tableColumns count="12">
    <x:tableColumn id="1" name="slno."/>
    <x:tableColumn id="2" name="food"/>
    <x:tableColumn id="3" name="protein_per_100"/>
    <x:tableColumn id="4" name="carbs_per_100"/>
    <x:tableColumn id="5" name="fats_per_100"/>
    <x:tableColumn id="6" name="calories_per_100"/>
    <x:tableColumn id="7" name="common_measured_unit1"/>
    <x:tableColumn id="8" name="weight1"/>
    <x:tableColumn id="9" name="common_measured_unit2"/>
    <x:tableColumn id="10" name="weight2"/>
    <x:tableColumn id="11" name="common_measured_unit3"/>
    <x:tableColumn id="12" name="weight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ferences" displayName="FoodReferences" ref="A15:P215" headerRowCount="1" totalsRowCount="0" totalsRowShown="0">
  <x:tableColumns count="16">
    <x:tableColumn id="1" name="food_group"/>
    <x:tableColumn id="2" name="slno."/>
    <x:tableColumn id="3" name="food"/>
    <x:tableColumn id="4" name="reference"/>
    <x:tableColumn id="5" name="record_id"/>
    <x:tableColumn id="6" name="original_food_description"/>
    <x:tableColumn id="7" name="protein_g"/>
    <x:tableColumn id="8" name="source_carbs_g"/>
    <x:tableColumn id="9" name="fat_g"/>
    <x:tableColumn id="10" name="fibre_g"/>
    <x:tableColumn id="11" name="source_energy"/>
    <x:tableColumn id="12" name="energy_unit"/>
    <x:tableColumn id="13" name="reference_url"/>
    <x:tableColumn id="14" name="record_location"/>
    <x:tableColumn id="15" name="nutrition_basis"/>
    <x:tableColumn id="16" name="serving_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ca76e98c8348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50aa34882341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545c4ee2e649e6" /></Relationships>
</file>

<file path=xl/worksheets/sheet1.xml><?xml version="1.0" encoding="utf-8"?>
<x:worksheet xmlns:x="http://schemas.openxmlformats.org/spreadsheetml/2006/main">
  <x:sheetPr>
    <x:tabColor rgb="FF164B3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6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9" max="9" width="36" hidden="0" customWidth="1"/>
    <x:col min="11" max="11" width="36" hidden="0" customWidth="1"/>
    <x:col min="8" max="8" width="11" hidden="0" customWidth="1"/>
    <x:col min="10" max="10" width="11" hidden="0" customWidth="1"/>
    <x:col min="12" max="12" width="11" hidden="0" customWidth="1"/>
  </x:cols>
  <x:sheetData>
    <x:row r="1" ht="48" customHeight="1">
      <x:c r="A1" s="13" t="str">
        <x:v>slno.</x:v>
      </x:c>
      <x:c r="B1" s="13" t="str">
        <x:v>food</x:v>
      </x:c>
      <x:c r="C1" s="13" t="str">
        <x:v>protein_per_100</x:v>
      </x:c>
      <x:c r="D1" s="13" t="str">
        <x:v>carbs_per_100</x:v>
      </x:c>
      <x:c r="E1" s="13" t="str">
        <x:v>fats_per_100</x:v>
      </x:c>
      <x:c r="F1" s="13" t="str">
        <x:v>calories_per_100</x:v>
      </x:c>
      <x:c r="G1" s="13" t="str">
        <x:v>common_measured_unit1</x:v>
      </x:c>
      <x:c r="H1" s="13" t="str">
        <x:v>weight1</x:v>
      </x:c>
      <x:c r="I1" s="13" t="str">
        <x:v>common_measured_unit2</x:v>
      </x:c>
      <x:c r="J1" s="13" t="str">
        <x:v>weight2</x:v>
      </x:c>
      <x:c r="K1" s="13" t="str">
        <x:v>common_measured_unit3</x:v>
      </x:c>
      <x:c r="L1" s="13" t="str">
        <x:v>weight3</x:v>
      </x:c>
    </x:row>
    <x:row r="2" ht="33" customHeight="1">
      <x:c r="A2" s="6" t="n">
        <x:v>1</x:v>
      </x:c>
      <x:c r="B2" s="7" t="str">
        <x:v>Amaranth / rajgira, pale brown grain, dry</x:v>
      </x:c>
      <x:c r="C2" s="8" t="n">
        <x:v>13.27</x:v>
      </x:c>
      <x:c r="D2" s="8" t="n">
        <x:f>ROUND('Sources and Notes'!H16+'Sources and Notes'!J16,2)</x:f>
        <x:v>68.93</x:v>
      </x:c>
      <x:c r="E2" s="8" t="n">
        <x:v>5.56</x:v>
      </x:c>
      <x:c r="F2" s="9" t="n">
        <x:f>ROUND('Sources and Notes'!K16/4.184,1)</x:f>
        <x:v>355.9</x:v>
      </x:c>
      <x:c r="G2" s="7"/>
      <x:c r="H2" s="9"/>
      <x:c r="I2" s="7"/>
      <x:c r="J2" s="9"/>
      <x:c r="K2" s="7"/>
      <x:c r="L2" s="9"/>
    </x:row>
    <x:row r="3" ht="33" customHeight="1">
      <x:c r="A3" s="2" t="n">
        <x:v>2</x:v>
      </x:c>
      <x:c r="B3" s="5" t="str">
        <x:v>Bajra / pearl millet, grain, dry</x:v>
      </x:c>
      <x:c r="C3" s="3" t="n">
        <x:v>10.96</x:v>
      </x:c>
      <x:c r="D3" s="3" t="n">
        <x:f>ROUND('Sources and Notes'!H17+'Sources and Notes'!J17,2)</x:f>
        <x:v>73.27</x:v>
      </x:c>
      <x:c r="E3" s="3" t="n">
        <x:v>5.43</x:v>
      </x:c>
      <x:c r="F3" s="4" t="n">
        <x:f>ROUND('Sources and Notes'!K17/4.184,1)</x:f>
        <x:v>348</x:v>
      </x:c>
      <x:c r="G3" s="5"/>
      <x:c r="H3" s="4"/>
      <x:c r="I3" s="5"/>
      <x:c r="J3" s="4"/>
      <x:c r="K3" s="5"/>
      <x:c r="L3" s="4"/>
    </x:row>
    <x:row r="4" ht="33" customHeight="1">
      <x:c r="A4" s="6" t="n">
        <x:v>3</x:v>
      </x:c>
      <x:c r="B4" s="7" t="str">
        <x:v>Barley / jau, grain, dry</x:v>
      </x:c>
      <x:c r="C4" s="8" t="n">
        <x:v>10.94</x:v>
      </x:c>
      <x:c r="D4" s="8" t="n">
        <x:f>ROUND('Sources and Notes'!H18+'Sources and Notes'!J18,2)</x:f>
        <x:v>76.93</x:v>
      </x:c>
      <x:c r="E4" s="8" t="n">
        <x:v>1.3</x:v>
      </x:c>
      <x:c r="F4" s="9" t="n">
        <x:f>ROUND('Sources and Notes'!K18/4.184,1)</x:f>
        <x:v>315.7</x:v>
      </x:c>
      <x:c r="G4" s="7"/>
      <x:c r="H4" s="9"/>
      <x:c r="I4" s="7"/>
      <x:c r="J4" s="9"/>
      <x:c r="K4" s="7"/>
      <x:c r="L4" s="9"/>
    </x:row>
    <x:row r="5" ht="33" customHeight="1">
      <x:c r="A5" s="2" t="n">
        <x:v>4</x:v>
      </x:c>
      <x:c r="B5" s="5" t="str">
        <x:v>Jowar / sorghum, grain, dry</x:v>
      </x:c>
      <x:c r="C5" s="3" t="n">
        <x:v>9.97</x:v>
      </x:c>
      <x:c r="D5" s="3" t="n">
        <x:f>ROUND('Sources and Notes'!H19+'Sources and Notes'!J19,2)</x:f>
        <x:v>77.9</x:v>
      </x:c>
      <x:c r="E5" s="3" t="n">
        <x:v>1.73</x:v>
      </x:c>
      <x:c r="F5" s="4" t="n">
        <x:f>ROUND('Sources and Notes'!K19/4.184,1)</x:f>
        <x:v>334.1</x:v>
      </x:c>
      <x:c r="G5" s="5"/>
      <x:c r="H5" s="4"/>
      <x:c r="I5" s="5"/>
      <x:c r="J5" s="4"/>
      <x:c r="K5" s="5"/>
      <x:c r="L5" s="4"/>
    </x:row>
    <x:row r="6" ht="33" customHeight="1">
      <x:c r="A6" s="6" t="n">
        <x:v>5</x:v>
      </x:c>
      <x:c r="B6" s="7" t="str">
        <x:v>Maize / makai, grain, dry</x:v>
      </x:c>
      <x:c r="C6" s="8" t="n">
        <x:v>8.8</x:v>
      </x:c>
      <x:c r="D6" s="8" t="n">
        <x:f>ROUND('Sources and Notes'!H20+'Sources and Notes'!J20,2)</x:f>
        <x:v>77.01</x:v>
      </x:c>
      <x:c r="E6" s="8" t="n">
        <x:v>3.77</x:v>
      </x:c>
      <x:c r="F6" s="9" t="n">
        <x:f>ROUND('Sources and Notes'!K20/4.184,1)</x:f>
        <x:v>334.1</x:v>
      </x:c>
      <x:c r="G6" s="7"/>
      <x:c r="H6" s="9"/>
      <x:c r="I6" s="7"/>
      <x:c r="J6" s="9"/>
      <x:c r="K6" s="7"/>
      <x:c r="L6" s="9"/>
    </x:row>
    <x:row r="7" ht="33" customHeight="1">
      <x:c r="A7" s="2" t="n">
        <x:v>6</x:v>
      </x:c>
      <x:c r="B7" s="5" t="str">
        <x:v>Sweet corn, tender, raw</x:v>
      </x:c>
      <x:c r="C7" s="3" t="n">
        <x:v>4.16</x:v>
      </x:c>
      <x:c r="D7" s="3" t="n">
        <x:f>ROUND('Sources and Notes'!H21+'Sources and Notes'!J21,2)</x:f>
        <x:v>19.72</x:v>
      </x:c>
      <x:c r="E7" s="3" t="n">
        <x:v>1.35</x:v>
      </x:c>
      <x:c r="F7" s="4" t="n">
        <x:f>ROUND('Sources and Notes'!K21/4.184,1)</x:f>
        <x:v>96.8</x:v>
      </x:c>
      <x:c r="G7" s="5"/>
      <x:c r="H7" s="4"/>
      <x:c r="I7" s="5"/>
      <x:c r="J7" s="4"/>
      <x:c r="K7" s="5"/>
      <x:c r="L7" s="4"/>
    </x:row>
    <x:row r="8" ht="33" customHeight="1">
      <x:c r="A8" s="6" t="n">
        <x:v>7</x:v>
      </x:c>
      <x:c r="B8" s="7" t="str">
        <x:v>Quinoa, grain, dry</x:v>
      </x:c>
      <x:c r="C8" s="8" t="n">
        <x:v>13.11</x:v>
      </x:c>
      <x:c r="D8" s="8" t="n">
        <x:f>ROUND('Sources and Notes'!H22+'Sources and Notes'!J22,2)</x:f>
        <x:v>68.31</x:v>
      </x:c>
      <x:c r="E8" s="8" t="n">
        <x:v>5.5</x:v>
      </x:c>
      <x:c r="F8" s="9" t="n">
        <x:f>ROUND('Sources and Notes'!K22/4.184,1)</x:f>
        <x:v>328.4</x:v>
      </x:c>
      <x:c r="G8" s="7"/>
      <x:c r="H8" s="9"/>
      <x:c r="I8" s="7"/>
      <x:c r="J8" s="9"/>
      <x:c r="K8" s="7"/>
      <x:c r="L8" s="9"/>
    </x:row>
    <x:row r="9" ht="33" customHeight="1">
      <x:c r="A9" s="2" t="n">
        <x:v>8</x:v>
      </x:c>
      <x:c r="B9" s="5" t="str">
        <x:v>Ragi / finger millet, grain, dry</x:v>
      </x:c>
      <x:c r="C9" s="3" t="n">
        <x:v>7.16</x:v>
      </x:c>
      <x:c r="D9" s="3" t="n">
        <x:f>ROUND('Sources and Notes'!H23+'Sources and Notes'!J23,2)</x:f>
        <x:v>78</x:v>
      </x:c>
      <x:c r="E9" s="3" t="n">
        <x:v>1.92</x:v>
      </x:c>
      <x:c r="F9" s="4" t="n">
        <x:f>ROUND('Sources and Notes'!K23/4.184,1)</x:f>
        <x:v>320.7</x:v>
      </x:c>
      <x:c r="G9" s="5"/>
      <x:c r="H9" s="4"/>
      <x:c r="I9" s="5"/>
      <x:c r="J9" s="4"/>
      <x:c r="K9" s="5"/>
      <x:c r="L9" s="4"/>
    </x:row>
    <x:row r="10" ht="33" customHeight="1">
      <x:c r="A10" s="6" t="n">
        <x:v>9</x:v>
      </x:c>
      <x:c r="B10" s="7" t="str">
        <x:v>Poha / flattened rice, dry</x:v>
      </x:c>
      <x:c r="C10" s="8" t="n">
        <x:v>7.44</x:v>
      </x:c>
      <x:c r="D10" s="8" t="n">
        <x:f>ROUND('Sources and Notes'!H24+'Sources and Notes'!J24,2)</x:f>
        <x:v>80.21</x:v>
      </x:c>
      <x:c r="E10" s="8" t="n">
        <x:v>1.14</x:v>
      </x:c>
      <x:c r="F10" s="9" t="n">
        <x:f>ROUND('Sources and Notes'!K24/4.184,1)</x:f>
        <x:v>353.7</x:v>
      </x:c>
      <x:c r="G10" s="7"/>
      <x:c r="H10" s="9"/>
      <x:c r="I10" s="7"/>
      <x:c r="J10" s="9"/>
      <x:c r="K10" s="7"/>
      <x:c r="L10" s="9"/>
    </x:row>
    <x:row r="11" ht="33" customHeight="1">
      <x:c r="A11" s="2" t="n">
        <x:v>10</x:v>
      </x:c>
      <x:c r="B11" s="5" t="str">
        <x:v>Murmura / puffed rice, plain</x:v>
      </x:c>
      <x:c r="C11" s="3" t="n">
        <x:v>7.47</x:v>
      </x:c>
      <x:c r="D11" s="3" t="n">
        <x:f>ROUND('Sources and Notes'!H25+'Sources and Notes'!J25,2)</x:f>
        <x:v>80.24</x:v>
      </x:c>
      <x:c r="E11" s="3" t="n">
        <x:v>1.62</x:v>
      </x:c>
      <x:c r="F11" s="4" t="n">
        <x:f>ROUND('Sources and Notes'!K25/4.184,1)</x:f>
        <x:v>361.9</x:v>
      </x:c>
      <x:c r="G11" s="5"/>
      <x:c r="H11" s="4"/>
      <x:c r="I11" s="5"/>
      <x:c r="J11" s="4"/>
      <x:c r="K11" s="5"/>
      <x:c r="L11" s="4"/>
    </x:row>
    <x:row r="12" ht="33" customHeight="1">
      <x:c r="A12" s="6" t="n">
        <x:v>11</x:v>
      </x:c>
      <x:c r="B12" s="7" t="str">
        <x:v>Brown rice, raw, dry</x:v>
      </x:c>
      <x:c r="C12" s="8" t="n">
        <x:v>9.16</x:v>
      </x:c>
      <x:c r="D12" s="8" t="n">
        <x:f>ROUND('Sources and Notes'!H26+'Sources and Notes'!J26,2)</x:f>
        <x:v>79.23</x:v>
      </x:c>
      <x:c r="E12" s="8" t="n">
        <x:v>1.24</x:v>
      </x:c>
      <x:c r="F12" s="9" t="n">
        <x:f>ROUND('Sources and Notes'!K26/4.184,1)</x:f>
        <x:v>353.7</x:v>
      </x:c>
      <x:c r="G12" s="7"/>
      <x:c r="H12" s="9"/>
      <x:c r="I12" s="7"/>
      <x:c r="J12" s="9"/>
      <x:c r="K12" s="7"/>
      <x:c r="L12" s="9"/>
    </x:row>
    <x:row r="13" ht="33" customHeight="1">
      <x:c r="A13" s="2" t="n">
        <x:v>12</x:v>
      </x:c>
      <x:c r="B13" s="5" t="str">
        <x:v>Parboiled milled rice, dry, uncooked</x:v>
      </x:c>
      <x:c r="C13" s="3" t="n">
        <x:v>7.81</x:v>
      </x:c>
      <x:c r="D13" s="3" t="n">
        <x:f>ROUND('Sources and Notes'!H27+'Sources and Notes'!J27,2)</x:f>
        <x:v>80.9</x:v>
      </x:c>
      <x:c r="E13" s="3" t="n">
        <x:v>0.55</x:v>
      </x:c>
      <x:c r="F13" s="4" t="n">
        <x:f>ROUND('Sources and Notes'!K27/4.184,1)</x:f>
        <x:v>351.6</x:v>
      </x:c>
      <x:c r="G13" s="5"/>
      <x:c r="H13" s="4"/>
      <x:c r="I13" s="5"/>
      <x:c r="J13" s="4"/>
      <x:c r="K13" s="5"/>
      <x:c r="L13" s="4"/>
    </x:row>
    <x:row r="14" ht="33" customHeight="1">
      <x:c r="A14" s="6" t="n">
        <x:v>13</x:v>
      </x:c>
      <x:c r="B14" s="7" t="str">
        <x:v>White milled rice, raw, dry</x:v>
      </x:c>
      <x:c r="C14" s="8" t="n">
        <x:v>7.94</x:v>
      </x:c>
      <x:c r="D14" s="8" t="n">
        <x:f>ROUND('Sources and Notes'!H28+'Sources and Notes'!J28,2)</x:f>
        <x:v>81.05</x:v>
      </x:c>
      <x:c r="E14" s="8" t="n">
        <x:v>0.52</x:v>
      </x:c>
      <x:c r="F14" s="9" t="n">
        <x:f>ROUND('Sources and Notes'!K28/4.184,1)</x:f>
        <x:v>356.4</x:v>
      </x:c>
      <x:c r="G14" s="7"/>
      <x:c r="H14" s="9"/>
      <x:c r="I14" s="7"/>
      <x:c r="J14" s="9"/>
      <x:c r="K14" s="7"/>
      <x:c r="L14" s="9"/>
    </x:row>
    <x:row r="15" ht="33" customHeight="1">
      <x:c r="A15" s="2" t="n">
        <x:v>14</x:v>
      </x:c>
      <x:c r="B15" s="5" t="str">
        <x:v>Little millet / samai, grain, dry</x:v>
      </x:c>
      <x:c r="C15" s="3" t="n">
        <x:v>10.13</x:v>
      </x:c>
      <x:c r="D15" s="3" t="n">
        <x:f>ROUND('Sources and Notes'!H29+'Sources and Notes'!J29,2)</x:f>
        <x:v>73.27</x:v>
      </x:c>
      <x:c r="E15" s="3" t="n">
        <x:v>3.89</x:v>
      </x:c>
      <x:c r="F15" s="4" t="n">
        <x:f>ROUND('Sources and Notes'!K29/4.184,1)</x:f>
        <x:v>346.3</x:v>
      </x:c>
      <x:c r="G15" s="5"/>
      <x:c r="H15" s="4"/>
      <x:c r="I15" s="5"/>
      <x:c r="J15" s="4"/>
      <x:c r="K15" s="5"/>
      <x:c r="L15" s="4"/>
    </x:row>
    <x:row r="16" ht="33" customHeight="1">
      <x:c r="A16" s="6" t="n">
        <x:v>15</x:v>
      </x:c>
      <x:c r="B16" s="7" t="str">
        <x:v>Kodo millet / varagu, grain, dry</x:v>
      </x:c>
      <x:c r="C16" s="8" t="n">
        <x:v>8.92</x:v>
      </x:c>
      <x:c r="D16" s="8" t="n">
        <x:f>ROUND('Sources and Notes'!H30+'Sources and Notes'!J30,2)</x:f>
        <x:v>72.58</x:v>
      </x:c>
      <x:c r="E16" s="8" t="n">
        <x:v>2.55</x:v>
      </x:c>
      <x:c r="F16" s="9" t="n">
        <x:f>ROUND('Sources and Notes'!K30/4.184,1)</x:f>
        <x:v>331.7</x:v>
      </x:c>
      <x:c r="G16" s="7"/>
      <x:c r="H16" s="9"/>
      <x:c r="I16" s="7"/>
      <x:c r="J16" s="9"/>
      <x:c r="K16" s="7"/>
      <x:c r="L16" s="9"/>
    </x:row>
    <x:row r="17" ht="33" customHeight="1">
      <x:c r="A17" s="2" t="n">
        <x:v>16</x:v>
      </x:c>
      <x:c r="B17" s="5" t="str">
        <x:v>Maida / refined wheat flour, dry</x:v>
      </x:c>
      <x:c r="C17" s="3" t="n">
        <x:v>10.36</x:v>
      </x:c>
      <x:c r="D17" s="3" t="n">
        <x:f>ROUND('Sources and Notes'!H31+'Sources and Notes'!J31,2)</x:f>
        <x:v>77.03</x:v>
      </x:c>
      <x:c r="E17" s="3" t="n">
        <x:v>0.76</x:v>
      </x:c>
      <x:c r="F17" s="4" t="n">
        <x:f>ROUND('Sources and Notes'!K31/4.184,1)</x:f>
        <x:v>351.8</x:v>
      </x:c>
      <x:c r="G17" s="5"/>
      <x:c r="H17" s="4"/>
      <x:c r="I17" s="5"/>
      <x:c r="J17" s="4"/>
      <x:c r="K17" s="5"/>
      <x:c r="L17" s="4"/>
    </x:row>
    <x:row r="18" ht="33" customHeight="1">
      <x:c r="A18" s="6" t="n">
        <x:v>17</x:v>
      </x:c>
      <x:c r="B18" s="7" t="str">
        <x:v>Whole wheat atta, dry</x:v>
      </x:c>
      <x:c r="C18" s="8" t="n">
        <x:v>10.57</x:v>
      </x:c>
      <x:c r="D18" s="8" t="n">
        <x:f>ROUND('Sources and Notes'!H32+'Sources and Notes'!J32,2)</x:f>
        <x:v>75.53</x:v>
      </x:c>
      <x:c r="E18" s="8" t="n">
        <x:v>1.53</x:v>
      </x:c>
      <x:c r="F18" s="9" t="n">
        <x:f>ROUND('Sources and Notes'!K32/4.184,1)</x:f>
        <x:v>320.3</x:v>
      </x:c>
      <x:c r="G18" s="7"/>
      <x:c r="H18" s="9"/>
      <x:c r="I18" s="7"/>
      <x:c r="J18" s="9"/>
      <x:c r="K18" s="7"/>
      <x:c r="L18" s="9"/>
    </x:row>
    <x:row r="19" ht="33" customHeight="1">
      <x:c r="A19" s="2" t="n">
        <x:v>18</x:v>
      </x:c>
      <x:c r="B19" s="5" t="str">
        <x:v>Daliya / bulgur wheat, dry</x:v>
      </x:c>
      <x:c r="C19" s="3" t="n">
        <x:v>10.84</x:v>
      </x:c>
      <x:c r="D19" s="3" t="n">
        <x:f>ROUND('Sources and Notes'!H33+'Sources and Notes'!J33,2)</x:f>
        <x:v>77.87</x:v>
      </x:c>
      <x:c r="E19" s="3" t="n">
        <x:v>1.45</x:v>
      </x:c>
      <x:c r="F19" s="4" t="n">
        <x:f>ROUND('Sources and Notes'!K33/4.184,1)</x:f>
        <x:v>341.8</x:v>
      </x:c>
      <x:c r="G19" s="5"/>
      <x:c r="H19" s="4"/>
      <x:c r="I19" s="5"/>
      <x:c r="J19" s="4"/>
      <x:c r="K19" s="5"/>
      <x:c r="L19" s="4"/>
    </x:row>
    <x:row r="20" ht="33" customHeight="1">
      <x:c r="A20" s="6" t="n">
        <x:v>19</x:v>
      </x:c>
      <x:c r="B20" s="7" t="str">
        <x:v>Sooji / semolina, dry</x:v>
      </x:c>
      <x:c r="C20" s="8" t="n">
        <x:v>11.38</x:v>
      </x:c>
      <x:c r="D20" s="8" t="n">
        <x:f>ROUND('Sources and Notes'!H34+'Sources and Notes'!J34,2)</x:f>
        <x:v>78.15</x:v>
      </x:c>
      <x:c r="E20" s="8" t="n">
        <x:v>0.74</x:v>
      </x:c>
      <x:c r="F20" s="9" t="n">
        <x:f>ROUND('Sources and Notes'!K34/4.184,1)</x:f>
        <x:v>333.7</x:v>
      </x:c>
      <x:c r="G20" s="7"/>
      <x:c r="H20" s="9"/>
      <x:c r="I20" s="7"/>
      <x:c r="J20" s="9"/>
      <x:c r="K20" s="7"/>
      <x:c r="L20" s="9"/>
    </x:row>
    <x:row r="21" ht="33" customHeight="1">
      <x:c r="A21" s="2" t="n">
        <x:v>20</x:v>
      </x:c>
      <x:c r="B21" s="5" t="str">
        <x:v>Wheat vermicelli / seviyan, dry</x:v>
      </x:c>
      <x:c r="C21" s="3" t="n">
        <x:v>9.7</x:v>
      </x:c>
      <x:c r="D21" s="3" t="n">
        <x:f>ROUND('Sources and Notes'!H35+'Sources and Notes'!J35,2)</x:f>
        <x:v>79.67</x:v>
      </x:c>
      <x:c r="E21" s="3" t="n">
        <x:v>0.45</x:v>
      </x:c>
      <x:c r="F21" s="4" t="n">
        <x:f>ROUND('Sources and Notes'!K35/4.184,1)</x:f>
        <x:v>332.7</x:v>
      </x:c>
      <x:c r="G21" s="5"/>
      <x:c r="H21" s="4"/>
      <x:c r="I21" s="5"/>
      <x:c r="J21" s="4"/>
      <x:c r="K21" s="5"/>
      <x:c r="L21" s="4"/>
    </x:row>
    <x:row r="22" ht="33" customHeight="1">
      <x:c r="A22" s="6" t="n">
        <x:v>21</x:v>
      </x:c>
      <x:c r="B22" s="7" t="str">
        <x:v>Chana dal, dry</x:v>
      </x:c>
      <x:c r="C22" s="8" t="n">
        <x:v>21.55</x:v>
      </x:c>
      <x:c r="D22" s="8" t="n">
        <x:f>ROUND('Sources and Notes'!H36+'Sources and Notes'!J36,2)</x:f>
        <x:v>61.87</x:v>
      </x:c>
      <x:c r="E22" s="8" t="n">
        <x:v>5.31</x:v>
      </x:c>
      <x:c r="F22" s="9" t="n">
        <x:f>ROUND('Sources and Notes'!K36/4.184,1)</x:f>
        <x:v>329.1</x:v>
      </x:c>
      <x:c r="G22" s="7"/>
      <x:c r="H22" s="9"/>
      <x:c r="I22" s="7"/>
      <x:c r="J22" s="9"/>
      <x:c r="K22" s="7"/>
      <x:c r="L22" s="9"/>
    </x:row>
    <x:row r="23" ht="33" customHeight="1">
      <x:c r="A23" s="2" t="n">
        <x:v>22</x:v>
      </x:c>
      <x:c r="B23" s="5" t="str">
        <x:v>Kala chana / whole Bengal gram, dry</x:v>
      </x:c>
      <x:c r="C23" s="3" t="n">
        <x:v>18.77</x:v>
      </x:c>
      <x:c r="D23" s="3" t="n">
        <x:f>ROUND('Sources and Notes'!H37+'Sources and Notes'!J37,2)</x:f>
        <x:v>64.78</x:v>
      </x:c>
      <x:c r="E23" s="3" t="n">
        <x:v>5.11</x:v>
      </x:c>
      <x:c r="F23" s="4" t="n">
        <x:f>ROUND('Sources and Notes'!K37/4.184,1)</x:f>
        <x:v>287</x:v>
      </x:c>
      <x:c r="G23" s="5"/>
      <x:c r="H23" s="4"/>
      <x:c r="I23" s="5"/>
      <x:c r="J23" s="4"/>
      <x:c r="K23" s="5"/>
      <x:c r="L23" s="4"/>
    </x:row>
    <x:row r="24" ht="33" customHeight="1">
      <x:c r="A24" s="6" t="n">
        <x:v>23</x:v>
      </x:c>
      <x:c r="B24" s="7" t="str">
        <x:v>Urad dal, dry</x:v>
      </x:c>
      <x:c r="C24" s="8" t="n">
        <x:v>23.06</x:v>
      </x:c>
      <x:c r="D24" s="8" t="n">
        <x:f>ROUND('Sources and Notes'!H38+'Sources and Notes'!J38,2)</x:f>
        <x:v>62.93</x:v>
      </x:c>
      <x:c r="E24" s="8" t="n">
        <x:v>1.69</x:v>
      </x:c>
      <x:c r="F24" s="9" t="n">
        <x:f>ROUND('Sources and Notes'!K38/4.184,1)</x:f>
        <x:v>324.1</x:v>
      </x:c>
      <x:c r="G24" s="7"/>
      <x:c r="H24" s="9"/>
      <x:c r="I24" s="7"/>
      <x:c r="J24" s="9"/>
      <x:c r="K24" s="7"/>
      <x:c r="L24" s="9"/>
    </x:row>
    <x:row r="25" ht="33" customHeight="1">
      <x:c r="A25" s="2" t="n">
        <x:v>24</x:v>
      </x:c>
      <x:c r="B25" s="5" t="str">
        <x:v>Whole urad / black gram, dry</x:v>
      </x:c>
      <x:c r="C25" s="3" t="n">
        <x:v>21.97</x:v>
      </x:c>
      <x:c r="D25" s="3" t="n">
        <x:f>ROUND('Sources and Notes'!H39+'Sources and Notes'!J39,2)</x:f>
        <x:v>64.4</x:v>
      </x:c>
      <x:c r="E25" s="3" t="n">
        <x:v>1.58</x:v>
      </x:c>
      <x:c r="F25" s="4" t="n">
        <x:f>ROUND('Sources and Notes'!K39/4.184,1)</x:f>
        <x:v>291.3</x:v>
      </x:c>
      <x:c r="G25" s="5"/>
      <x:c r="H25" s="4"/>
      <x:c r="I25" s="5"/>
      <x:c r="J25" s="4"/>
      <x:c r="K25" s="5"/>
      <x:c r="L25" s="4"/>
    </x:row>
    <x:row r="26" ht="33" customHeight="1">
      <x:c r="A26" s="6" t="n">
        <x:v>25</x:v>
      </x:c>
      <x:c r="B26" s="7" t="str">
        <x:v>Lobia / cowpea, white, dry</x:v>
      </x:c>
      <x:c r="C26" s="8" t="n">
        <x:v>21.25</x:v>
      </x:c>
      <x:c r="D26" s="8" t="n">
        <x:f>ROUND('Sources and Notes'!H40+'Sources and Notes'!J40,2)</x:f>
        <x:v>65.47</x:v>
      </x:c>
      <x:c r="E26" s="8" t="n">
        <x:v>1.14</x:v>
      </x:c>
      <x:c r="F26" s="9" t="n">
        <x:f>ROUND('Sources and Notes'!K40/4.184,1)</x:f>
        <x:v>320.3</x:v>
      </x:c>
      <x:c r="G26" s="7"/>
      <x:c r="H26" s="9"/>
      <x:c r="I26" s="7"/>
      <x:c r="J26" s="9"/>
      <x:c r="K26" s="7"/>
      <x:c r="L26" s="9"/>
    </x:row>
    <x:row r="27" ht="33" customHeight="1">
      <x:c r="A27" s="2" t="n">
        <x:v>26</x:v>
      </x:c>
      <x:c r="B27" s="5" t="str">
        <x:v>Moong dal, dry</x:v>
      </x:c>
      <x:c r="C27" s="3" t="n">
        <x:v>23.88</x:v>
      </x:c>
      <x:c r="D27" s="3" t="n">
        <x:f>ROUND('Sources and Notes'!H41+'Sources and Notes'!J41,2)</x:f>
        <x:v>61.96</x:v>
      </x:c>
      <x:c r="E27" s="3" t="n">
        <x:v>1.35</x:v>
      </x:c>
      <x:c r="F27" s="4" t="n">
        <x:f>ROUND('Sources and Notes'!K41/4.184,1)</x:f>
        <x:v>325.8</x:v>
      </x:c>
      <x:c r="G27" s="5"/>
      <x:c r="H27" s="4"/>
      <x:c r="I27" s="5"/>
      <x:c r="J27" s="4"/>
      <x:c r="K27" s="5"/>
      <x:c r="L27" s="4"/>
    </x:row>
    <x:row r="28" ht="33" customHeight="1">
      <x:c r="A28" s="6" t="n">
        <x:v>27</x:v>
      </x:c>
      <x:c r="B28" s="7" t="str">
        <x:v>Whole green moong, dry</x:v>
      </x:c>
      <x:c r="C28" s="8" t="n">
        <x:v>22.53</x:v>
      </x:c>
      <x:c r="D28" s="8" t="n">
        <x:f>ROUND('Sources and Notes'!H42+'Sources and Notes'!J42,2)</x:f>
        <x:v>63.17</x:v>
      </x:c>
      <x:c r="E28" s="8" t="n">
        <x:v>1.14</x:v>
      </x:c>
      <x:c r="F28" s="9" t="n">
        <x:f>ROUND('Sources and Notes'!K42/4.184,1)</x:f>
        <x:v>293.7</x:v>
      </x:c>
      <x:c r="G28" s="7"/>
      <x:c r="H28" s="9"/>
      <x:c r="I28" s="7"/>
      <x:c r="J28" s="9"/>
      <x:c r="K28" s="7"/>
      <x:c r="L28" s="9"/>
    </x:row>
    <x:row r="29" ht="33" customHeight="1">
      <x:c r="A29" s="2" t="n">
        <x:v>28</x:v>
      </x:c>
      <x:c r="B29" s="5" t="str">
        <x:v>Kulthi / horse gram, dry</x:v>
      </x:c>
      <x:c r="C29" s="3" t="n">
        <x:v>21.73</x:v>
      </x:c>
      <x:c r="D29" s="3" t="n">
        <x:f>ROUND('Sources and Notes'!H43+'Sources and Notes'!J43,2)</x:f>
        <x:v>65.12</x:v>
      </x:c>
      <x:c r="E29" s="3" t="n">
        <x:v>0.62</x:v>
      </x:c>
      <x:c r="F29" s="4" t="n">
        <x:f>ROUND('Sources and Notes'!K43/4.184,1)</x:f>
        <x:v>329.6</x:v>
      </x:c>
      <x:c r="G29" s="5"/>
      <x:c r="H29" s="4"/>
      <x:c r="I29" s="5"/>
      <x:c r="J29" s="4"/>
      <x:c r="K29" s="5"/>
      <x:c r="L29" s="4"/>
    </x:row>
    <x:row r="30" ht="33" customHeight="1">
      <x:c r="A30" s="6" t="n">
        <x:v>29</x:v>
      </x:c>
      <x:c r="B30" s="7" t="str">
        <x:v>Masoor dal, dry</x:v>
      </x:c>
      <x:c r="C30" s="8" t="n">
        <x:v>24.35</x:v>
      </x:c>
      <x:c r="D30" s="8" t="n">
        <x:f>ROUND('Sources and Notes'!H44+'Sources and Notes'!J44,2)</x:f>
        <x:v>62.96</x:v>
      </x:c>
      <x:c r="E30" s="8" t="n">
        <x:v>0.75</x:v>
      </x:c>
      <x:c r="F30" s="9" t="n">
        <x:f>ROUND('Sources and Notes'!K44/4.184,1)</x:f>
        <x:v>322.4</x:v>
      </x:c>
      <x:c r="G30" s="7"/>
      <x:c r="H30" s="9"/>
      <x:c r="I30" s="7"/>
      <x:c r="J30" s="9"/>
      <x:c r="K30" s="7"/>
      <x:c r="L30" s="9"/>
    </x:row>
    <x:row r="31" ht="33" customHeight="1">
      <x:c r="A31" s="2" t="n">
        <x:v>30</x:v>
      </x:c>
      <x:c r="B31" s="5" t="str">
        <x:v>Whole brown masoor, dry</x:v>
      </x:c>
      <x:c r="C31" s="3" t="n">
        <x:v>22.49</x:v>
      </x:c>
      <x:c r="D31" s="3" t="n">
        <x:f>ROUND('Sources and Notes'!H45+'Sources and Notes'!J45,2)</x:f>
        <x:v>65.29</x:v>
      </x:c>
      <x:c r="E31" s="3" t="n">
        <x:v>0.64</x:v>
      </x:c>
      <x:c r="F31" s="4" t="n">
        <x:f>ROUND('Sources and Notes'!K45/4.184,1)</x:f>
        <x:v>299</x:v>
      </x:c>
      <x:c r="G31" s="5"/>
      <x:c r="H31" s="4"/>
      <x:c r="I31" s="5"/>
      <x:c r="J31" s="4"/>
      <x:c r="K31" s="5"/>
      <x:c r="L31" s="4"/>
    </x:row>
    <x:row r="32" ht="33" customHeight="1">
      <x:c r="A32" s="6" t="n">
        <x:v>31</x:v>
      </x:c>
      <x:c r="B32" s="7" t="str">
        <x:v>Matki / moth bean, dry</x:v>
      </x:c>
      <x:c r="C32" s="8" t="n">
        <x:v>19.75</x:v>
      </x:c>
      <x:c r="D32" s="8" t="n">
        <x:f>ROUND('Sources and Notes'!H46+'Sources and Notes'!J46,2)</x:f>
        <x:v>67.21</x:v>
      </x:c>
      <x:c r="E32" s="8" t="n">
        <x:v>1.76</x:v>
      </x:c>
      <x:c r="F32" s="9" t="n">
        <x:f>ROUND('Sources and Notes'!K46/4.184,1)</x:f>
        <x:v>308.6</x:v>
      </x:c>
      <x:c r="G32" s="7"/>
      <x:c r="H32" s="9"/>
      <x:c r="I32" s="7"/>
      <x:c r="J32" s="9"/>
      <x:c r="K32" s="7"/>
      <x:c r="L32" s="9"/>
    </x:row>
    <x:row r="33" ht="33" customHeight="1">
      <x:c r="A33" s="2" t="n">
        <x:v>32</x:v>
      </x:c>
      <x:c r="B33" s="5" t="str">
        <x:v>Dried peas / matar, dry</x:v>
      </x:c>
      <x:c r="C33" s="3" t="n">
        <x:v>20.43</x:v>
      </x:c>
      <x:c r="D33" s="3" t="n">
        <x:f>ROUND('Sources and Notes'!H47+'Sources and Notes'!J47,2)</x:f>
        <x:v>65.94</x:v>
      </x:c>
      <x:c r="E33" s="3" t="n">
        <x:v>1.89</x:v>
      </x:c>
      <x:c r="F33" s="4" t="n">
        <x:f>ROUND('Sources and Notes'!K47/4.184,1)</x:f>
        <x:v>303.3</x:v>
      </x:c>
      <x:c r="G33" s="5"/>
      <x:c r="H33" s="4"/>
      <x:c r="I33" s="5"/>
      <x:c r="J33" s="4"/>
      <x:c r="K33" s="5"/>
      <x:c r="L33" s="4"/>
    </x:row>
    <x:row r="34" ht="33" customHeight="1">
      <x:c r="A34" s="6" t="n">
        <x:v>33</x:v>
      </x:c>
      <x:c r="B34" s="7" t="str">
        <x:v>Red rajma, dry</x:v>
      </x:c>
      <x:c r="C34" s="8" t="n">
        <x:v>19.91</x:v>
      </x:c>
      <x:c r="D34" s="8" t="n">
        <x:f>ROUND('Sources and Notes'!H48+'Sources and Notes'!J48,2)</x:f>
        <x:v>65.18</x:v>
      </x:c>
      <x:c r="E34" s="8" t="n">
        <x:v>1.77</x:v>
      </x:c>
      <x:c r="F34" s="9" t="n">
        <x:f>ROUND('Sources and Notes'!K48/4.184,1)</x:f>
        <x:v>299.2</x:v>
      </x:c>
      <x:c r="G34" s="7"/>
      <x:c r="H34" s="9"/>
      <x:c r="I34" s="7"/>
      <x:c r="J34" s="9"/>
      <x:c r="K34" s="7"/>
      <x:c r="L34" s="9"/>
    </x:row>
    <x:row r="35" ht="33" customHeight="1">
      <x:c r="A35" s="2" t="n">
        <x:v>34</x:v>
      </x:c>
      <x:c r="B35" s="5" t="str">
        <x:v>Toor / arhar dal, dry</x:v>
      </x:c>
      <x:c r="C35" s="3" t="n">
        <x:v>21.7</x:v>
      </x:c>
      <x:c r="D35" s="3" t="n">
        <x:f>ROUND('Sources and Notes'!H49+'Sources and Notes'!J49,2)</x:f>
        <x:v>64.29</x:v>
      </x:c>
      <x:c r="E35" s="3" t="n">
        <x:v>1.56</x:v>
      </x:c>
      <x:c r="F35" s="4" t="n">
        <x:f>ROUND('Sources and Notes'!K49/4.184,1)</x:f>
        <x:v>330.8</x:v>
      </x:c>
      <x:c r="G35" s="5"/>
      <x:c r="H35" s="4"/>
      <x:c r="I35" s="5"/>
      <x:c r="J35" s="4"/>
      <x:c r="K35" s="5"/>
      <x:c r="L35" s="4"/>
    </x:row>
    <x:row r="36" ht="33" customHeight="1">
      <x:c r="A36" s="6" t="n">
        <x:v>35</x:v>
      </x:c>
      <x:c r="B36" s="7" t="str">
        <x:v>Apple, large variety, raw, edible portion</x:v>
      </x:c>
      <x:c r="C36" s="8" t="n">
        <x:v>0.29</x:v>
      </x:c>
      <x:c r="D36" s="8" t="n">
        <x:f>ROUND('Sources and Notes'!H50+'Sources and Notes'!J50,2)</x:f>
        <x:v>15.7</x:v>
      </x:c>
      <x:c r="E36" s="8" t="n">
        <x:v>0.64</x:v>
      </x:c>
      <x:c r="F36" s="9" t="n">
        <x:f>ROUND('Sources and Notes'!K50/4.184,1)</x:f>
        <x:v>62.4</x:v>
      </x:c>
      <x:c r="G36" s="7"/>
      <x:c r="H36" s="9"/>
      <x:c r="I36" s="7"/>
      <x:c r="J36" s="9"/>
      <x:c r="K36" s="7"/>
      <x:c r="L36" s="9"/>
    </x:row>
    <x:row r="37" ht="33" customHeight="1">
      <x:c r="A37" s="2" t="n">
        <x:v>36</x:v>
      </x:c>
      <x:c r="B37" s="5" t="str">
        <x:v>Dried apricots / khubani</x:v>
      </x:c>
      <x:c r="C37" s="3" t="n">
        <x:v>3.17</x:v>
      </x:c>
      <x:c r="D37" s="3" t="n">
        <x:f>ROUND('Sources and Notes'!H51+'Sources and Notes'!J51,2)</x:f>
        <x:v>75.95</x:v>
      </x:c>
      <x:c r="E37" s="3" t="n">
        <x:v>0.74</x:v>
      </x:c>
      <x:c r="F37" s="4" t="n">
        <x:f>ROUND('Sources and Notes'!K51/4.184,1)</x:f>
        <x:v>315.7</x:v>
      </x:c>
      <x:c r="G37" s="5"/>
      <x:c r="H37" s="4"/>
      <x:c r="I37" s="5"/>
      <x:c r="J37" s="4"/>
      <x:c r="K37" s="5"/>
      <x:c r="L37" s="4"/>
    </x:row>
    <x:row r="38" ht="33" customHeight="1">
      <x:c r="A38" s="6" t="n">
        <x:v>37</x:v>
      </x:c>
      <x:c r="B38" s="7" t="str">
        <x:v>Bael fruit, raw, edible pulp</x:v>
      </x:c>
      <x:c r="C38" s="8" t="n">
        <x:v>2.63</x:v>
      </x:c>
      <x:c r="D38" s="8" t="n">
        <x:f>ROUND('Sources and Notes'!H52+'Sources and Notes'!J52,2)</x:f>
        <x:v>34.52</x:v>
      </x:c>
      <x:c r="E38" s="8" t="n">
        <x:v>0.57</x:v>
      </x:c>
      <x:c r="F38" s="9" t="n">
        <x:f>ROUND('Sources and Notes'!K52/4.184,1)</x:f>
        <x:v>136</x:v>
      </x:c>
      <x:c r="G38" s="7"/>
      <x:c r="H38" s="9"/>
      <x:c r="I38" s="7"/>
      <x:c r="J38" s="9"/>
      <x:c r="K38" s="7"/>
      <x:c r="L38" s="9"/>
    </x:row>
    <x:row r="39" ht="33" customHeight="1">
      <x:c r="A39" s="2" t="n">
        <x:v>38</x:v>
      </x:c>
      <x:c r="B39" s="5" t="str">
        <x:v>Banana, ripe, Robusta, peeled</x:v>
      </x:c>
      <x:c r="C39" s="3" t="n">
        <x:v>1.23</x:v>
      </x:c>
      <x:c r="D39" s="3" t="n">
        <x:f>ROUND('Sources and Notes'!H53+'Sources and Notes'!J53,2)</x:f>
        <x:v>25.57</x:v>
      </x:c>
      <x:c r="E39" s="3" t="n">
        <x:v>0.33</x:v>
      </x:c>
      <x:c r="F39" s="4" t="n">
        <x:f>ROUND('Sources and Notes'!K53/4.184,1)</x:f>
        <x:v>105.2</x:v>
      </x:c>
      <x:c r="G39" s="5"/>
      <x:c r="H39" s="4"/>
      <x:c r="I39" s="5"/>
      <x:c r="J39" s="4"/>
      <x:c r="K39" s="5"/>
      <x:c r="L39" s="4"/>
    </x:row>
    <x:row r="40" ht="33" customHeight="1">
      <x:c r="A40" s="6" t="n">
        <x:v>39</x:v>
      </x:c>
      <x:c r="B40" s="7" t="str">
        <x:v>Custard apple / sitaphal, raw, edible pulp</x:v>
      </x:c>
      <x:c r="C40" s="8" t="n">
        <x:v>1.62</x:v>
      </x:c>
      <x:c r="D40" s="8" t="n">
        <x:f>ROUND('Sources and Notes'!H54+'Sources and Notes'!J54,2)</x:f>
        <x:v>25.48</x:v>
      </x:c>
      <x:c r="E40" s="8" t="n">
        <x:v>0.67</x:v>
      </x:c>
      <x:c r="F40" s="9" t="n">
        <x:f>ROUND('Sources and Notes'!K54/4.184,1)</x:f>
        <x:v>98.9</x:v>
      </x:c>
      <x:c r="G40" s="7"/>
      <x:c r="H40" s="9"/>
      <x:c r="I40" s="7"/>
      <x:c r="J40" s="9"/>
      <x:c r="K40" s="7"/>
      <x:c r="L40" s="9"/>
    </x:row>
    <x:row r="41" ht="33" customHeight="1">
      <x:c r="A41" s="2" t="n">
        <x:v>40</x:v>
      </x:c>
      <x:c r="B41" s="5" t="str">
        <x:v>Dry dates / chuhara, pale brown, pitted</x:v>
      </x:c>
      <x:c r="C41" s="3" t="n">
        <x:v>2.45</x:v>
      </x:c>
      <x:c r="D41" s="3" t="n">
        <x:f>ROUND('Sources and Notes'!H55+'Sources and Notes'!J55,2)</x:f>
        <x:v>83.86</x:v>
      </x:c>
      <x:c r="E41" s="3" t="n">
        <x:v>0.35</x:v>
      </x:c>
      <x:c r="F41" s="4" t="n">
        <x:f>ROUND('Sources and Notes'!K55/4.184,1)</x:f>
        <x:v>320.3</x:v>
      </x:c>
      <x:c r="G41" s="5"/>
      <x:c r="H41" s="4"/>
      <x:c r="I41" s="5"/>
      <x:c r="J41" s="4"/>
      <x:c r="K41" s="5"/>
      <x:c r="L41" s="4"/>
    </x:row>
    <x:row r="42" ht="33" customHeight="1">
      <x:c r="A42" s="6" t="n">
        <x:v>41</x:v>
      </x:c>
      <x:c r="B42" s="7" t="str">
        <x:v>Fig / anjeer, fresh</x:v>
      </x:c>
      <x:c r="C42" s="8" t="n">
        <x:v>2.03</x:v>
      </x:c>
      <x:c r="D42" s="8" t="n">
        <x:f>ROUND('Sources and Notes'!H56+'Sources and Notes'!J56,2)</x:f>
        <x:v>20.92</x:v>
      </x:c>
      <x:c r="E42" s="8" t="n">
        <x:v>0.37</x:v>
      </x:c>
      <x:c r="F42" s="9" t="n">
        <x:f>ROUND('Sources and Notes'!K56/4.184,1)</x:f>
        <x:v>81.5</x:v>
      </x:c>
      <x:c r="G42" s="7"/>
      <x:c r="H42" s="9"/>
      <x:c r="I42" s="7"/>
      <x:c r="J42" s="9"/>
      <x:c r="K42" s="7"/>
      <x:c r="L42" s="9"/>
    </x:row>
    <x:row r="43" ht="33" customHeight="1">
      <x:c r="A43" s="2" t="n">
        <x:v>42</x:v>
      </x:c>
      <x:c r="B43" s="5" t="str">
        <x:v>Grapes, seeded, green, raw</x:v>
      </x:c>
      <x:c r="C43" s="3" t="n">
        <x:v>0.77</x:v>
      </x:c>
      <x:c r="D43" s="3" t="n">
        <x:f>ROUND('Sources and Notes'!H57+'Sources and Notes'!J57,2)</x:f>
        <x:v>13.44</x:v>
      </x:c>
      <x:c r="E43" s="3" t="n">
        <x:v>0.29</x:v>
      </x:c>
      <x:c r="F43" s="4" t="n">
        <x:f>ROUND('Sources and Notes'!K57/4.184,1)</x:f>
        <x:v>56.2</x:v>
      </x:c>
      <x:c r="G43" s="5"/>
      <x:c r="H43" s="4"/>
      <x:c r="I43" s="5"/>
      <x:c r="J43" s="4"/>
      <x:c r="K43" s="5"/>
      <x:c r="L43" s="4"/>
    </x:row>
    <x:row r="44" ht="33" customHeight="1">
      <x:c r="A44" s="6" t="n">
        <x:v>43</x:v>
      </x:c>
      <x:c r="B44" s="7" t="str">
        <x:v>Guava, white flesh, raw</x:v>
      </x:c>
      <x:c r="C44" s="8" t="n">
        <x:v>1.44</x:v>
      </x:c>
      <x:c r="D44" s="8" t="n">
        <x:f>ROUND('Sources and Notes'!H58+'Sources and Notes'!J58,2)</x:f>
        <x:v>13.72</x:v>
      </x:c>
      <x:c r="E44" s="8" t="n">
        <x:v>0.32</x:v>
      </x:c>
      <x:c r="F44" s="9" t="n">
        <x:f>ROUND('Sources and Notes'!K58/4.184,1)</x:f>
        <x:v>32.3</x:v>
      </x:c>
      <x:c r="G44" s="7"/>
      <x:c r="H44" s="9"/>
      <x:c r="I44" s="7"/>
      <x:c r="J44" s="9"/>
      <x:c r="K44" s="7"/>
      <x:c r="L44" s="9"/>
    </x:row>
    <x:row r="45" ht="33" customHeight="1">
      <x:c r="A45" s="2" t="n">
        <x:v>44</x:v>
      </x:c>
      <x:c r="B45" s="5" t="str">
        <x:v>Jackfruit, ripe, edible flesh</x:v>
      </x:c>
      <x:c r="C45" s="3" t="n">
        <x:v>2.74</x:v>
      </x:c>
      <x:c r="D45" s="3" t="n">
        <x:f>ROUND('Sources and Notes'!H59+'Sources and Notes'!J59,2)</x:f>
        <x:v>17.63</x:v>
      </x:c>
      <x:c r="E45" s="3" t="n">
        <x:v>0.15</x:v>
      </x:c>
      <x:c r="F45" s="4" t="n">
        <x:f>ROUND('Sources and Notes'!K59/4.184,1)</x:f>
        <x:v>72.2</x:v>
      </x:c>
      <x:c r="G45" s="5"/>
      <x:c r="H45" s="4"/>
      <x:c r="I45" s="5"/>
      <x:c r="J45" s="4"/>
      <x:c r="K45" s="5"/>
      <x:c r="L45" s="4"/>
    </x:row>
    <x:row r="46" ht="33" customHeight="1">
      <x:c r="A46" s="6" t="n">
        <x:v>45</x:v>
      </x:c>
      <x:c r="B46" s="7" t="str">
        <x:v>Litchi, raw, peeled and pitted</x:v>
      </x:c>
      <x:c r="C46" s="8" t="n">
        <x:v>0.99</x:v>
      </x:c>
      <x:c r="D46" s="8" t="n">
        <x:f>ROUND('Sources and Notes'!H60+'Sources and Notes'!J60,2)</x:f>
        <x:v>12.75</x:v>
      </x:c>
      <x:c r="E46" s="8" t="n">
        <x:v>0.26</x:v>
      </x:c>
      <x:c r="F46" s="9" t="n">
        <x:f>ROUND('Sources and Notes'!K60/4.184,1)</x:f>
        <x:v>53.8</x:v>
      </x:c>
      <x:c r="G46" s="7"/>
      <x:c r="H46" s="9"/>
      <x:c r="I46" s="7"/>
      <x:c r="J46" s="9"/>
      <x:c r="K46" s="7"/>
      <x:c r="L46" s="9"/>
    </x:row>
    <x:row r="47" ht="33" customHeight="1">
      <x:c r="A47" s="2" t="n">
        <x:v>46</x:v>
      </x:c>
      <x:c r="B47" s="5" t="str">
        <x:v>Mango, ripe, Kesar, edible flesh</x:v>
      </x:c>
      <x:c r="C47" s="3" t="n">
        <x:v>0.54</x:v>
      </x:c>
      <x:c r="D47" s="3" t="n">
        <x:f>ROUND('Sources and Notes'!H61+'Sources and Notes'!J61,2)</x:f>
        <x:v>13.38</x:v>
      </x:c>
      <x:c r="E47" s="3" t="n">
        <x:v>0.57</x:v>
      </x:c>
      <x:c r="F47" s="4" t="n">
        <x:f>ROUND('Sources and Notes'!K61/4.184,1)</x:f>
        <x:v>55.2</x:v>
      </x:c>
      <x:c r="G47" s="5"/>
      <x:c r="H47" s="4"/>
      <x:c r="I47" s="5"/>
      <x:c r="J47" s="4"/>
      <x:c r="K47" s="5"/>
      <x:c r="L47" s="4"/>
    </x:row>
    <x:row r="48" ht="33" customHeight="1">
      <x:c r="A48" s="6" t="n">
        <x:v>47</x:v>
      </x:c>
      <x:c r="B48" s="7" t="str">
        <x:v>Muskmelon, orange flesh, raw</x:v>
      </x:c>
      <x:c r="C48" s="8" t="n">
        <x:v>0.42</x:v>
      </x:c>
      <x:c r="D48" s="8" t="n">
        <x:f>ROUND('Sources and Notes'!H62+'Sources and Notes'!J62,2)</x:f>
        <x:v>5.75</x:v>
      </x:c>
      <x:c r="E48" s="8" t="n">
        <x:v>0.35</x:v>
      </x:c>
      <x:c r="F48" s="9" t="n">
        <x:f>ROUND('Sources and Notes'!K62/4.184,1)</x:f>
        <x:v>23.2</x:v>
      </x:c>
      <x:c r="G48" s="7"/>
      <x:c r="H48" s="9"/>
      <x:c r="I48" s="7"/>
      <x:c r="J48" s="9"/>
      <x:c r="K48" s="7"/>
      <x:c r="L48" s="9"/>
    </x:row>
    <x:row r="49" ht="33" customHeight="1">
      <x:c r="A49" s="2" t="n">
        <x:v>48</x:v>
      </x:c>
      <x:c r="B49" s="5" t="str">
        <x:v>Orange, raw, edible pulp</x:v>
      </x:c>
      <x:c r="C49" s="3" t="n">
        <x:v>0.7</x:v>
      </x:c>
      <x:c r="D49" s="3" t="n">
        <x:f>ROUND('Sources and Notes'!H63+'Sources and Notes'!J63,2)</x:f>
        <x:v>9.21</x:v>
      </x:c>
      <x:c r="E49" s="3" t="n">
        <x:v>0.13</x:v>
      </x:c>
      <x:c r="F49" s="4" t="n">
        <x:f>ROUND('Sources and Notes'!K63/4.184,1)</x:f>
        <x:v>37.3</x:v>
      </x:c>
      <x:c r="G49" s="5"/>
      <x:c r="H49" s="4"/>
      <x:c r="I49" s="5"/>
      <x:c r="J49" s="4"/>
      <x:c r="K49" s="5"/>
      <x:c r="L49" s="4"/>
    </x:row>
    <x:row r="50" ht="33" customHeight="1">
      <x:c r="A50" s="6" t="n">
        <x:v>49</x:v>
      </x:c>
      <x:c r="B50" s="7" t="str">
        <x:v>Papaya, ripe, edible flesh</x:v>
      </x:c>
      <x:c r="C50" s="8" t="n">
        <x:v>0.42</x:v>
      </x:c>
      <x:c r="D50" s="8" t="n">
        <x:f>ROUND('Sources and Notes'!H64+'Sources and Notes'!J64,2)</x:f>
        <x:v>7.44</x:v>
      </x:c>
      <x:c r="E50" s="8" t="n">
        <x:v>0.16</x:v>
      </x:c>
      <x:c r="F50" s="9" t="n">
        <x:f>ROUND('Sources and Notes'!K64/4.184,1)</x:f>
        <x:v>23.9</x:v>
      </x:c>
      <x:c r="G50" s="7"/>
      <x:c r="H50" s="9"/>
      <x:c r="I50" s="7"/>
      <x:c r="J50" s="9"/>
      <x:c r="K50" s="7"/>
      <x:c r="L50" s="9"/>
    </x:row>
    <x:row r="51" ht="33" customHeight="1">
      <x:c r="A51" s="2" t="n">
        <x:v>50</x:v>
      </x:c>
      <x:c r="B51" s="5" t="str">
        <x:v>Pear, raw, edible portion</x:v>
      </x:c>
      <x:c r="C51" s="3" t="n">
        <x:v>0.36</x:v>
      </x:c>
      <x:c r="D51" s="3" t="n">
        <x:f>ROUND('Sources and Notes'!H65+'Sources and Notes'!J65,2)</x:f>
        <x:v>12.57</x:v>
      </x:c>
      <x:c r="E51" s="3" t="n">
        <x:v>0.27</x:v>
      </x:c>
      <x:c r="F51" s="4" t="n">
        <x:f>ROUND('Sources and Notes'!K65/4.184,1)</x:f>
        <x:v>37.5</x:v>
      </x:c>
      <x:c r="G51" s="5"/>
      <x:c r="H51" s="4"/>
      <x:c r="I51" s="5"/>
      <x:c r="J51" s="4"/>
      <x:c r="K51" s="5"/>
      <x:c r="L51" s="4"/>
    </x:row>
    <x:row r="52" ht="33" customHeight="1">
      <x:c r="A52" s="6" t="n">
        <x:v>51</x:v>
      </x:c>
      <x:c r="B52" s="7" t="str">
        <x:v>Pineapple, raw, edible flesh</x:v>
      </x:c>
      <x:c r="C52" s="8" t="n">
        <x:v>0.52</x:v>
      </x:c>
      <x:c r="D52" s="8" t="n">
        <x:f>ROUND('Sources and Notes'!H66+'Sources and Notes'!J66,2)</x:f>
        <x:v>12.88</x:v>
      </x:c>
      <x:c r="E52" s="8" t="n">
        <x:v>0.16</x:v>
      </x:c>
      <x:c r="F52" s="9" t="n">
        <x:f>ROUND('Sources and Notes'!K66/4.184,1)</x:f>
        <x:v>43</x:v>
      </x:c>
      <x:c r="G52" s="7"/>
      <x:c r="H52" s="9"/>
      <x:c r="I52" s="7"/>
      <x:c r="J52" s="9"/>
      <x:c r="K52" s="7"/>
      <x:c r="L52" s="9"/>
    </x:row>
    <x:row r="53" ht="33" customHeight="1">
      <x:c r="A53" s="2" t="n">
        <x:v>52</x:v>
      </x:c>
      <x:c r="B53" s="5" t="str">
        <x:v>Pomegranate, maroon arils</x:v>
      </x:c>
      <x:c r="C53" s="3" t="n">
        <x:v>1.33</x:v>
      </x:c>
      <x:c r="D53" s="3" t="n">
        <x:f>ROUND('Sources and Notes'!H67+'Sources and Notes'!J67,2)</x:f>
        <x:v>14.41</x:v>
      </x:c>
      <x:c r="E53" s="3" t="n">
        <x:v>0.15</x:v>
      </x:c>
      <x:c r="F53" s="4" t="n">
        <x:f>ROUND('Sources and Notes'!K67/4.184,1)</x:f>
        <x:v>54.7</x:v>
      </x:c>
      <x:c r="G53" s="5"/>
      <x:c r="H53" s="4"/>
      <x:c r="I53" s="5"/>
      <x:c r="J53" s="4"/>
      <x:c r="K53" s="5"/>
      <x:c r="L53" s="4"/>
    </x:row>
    <x:row r="54" ht="33" customHeight="1">
      <x:c r="A54" s="6" t="n">
        <x:v>53</x:v>
      </x:c>
      <x:c r="B54" s="7" t="str">
        <x:v>Raisins / kishmish, golden, dried</x:v>
      </x:c>
      <x:c r="C54" s="8" t="n">
        <x:v>2.76</x:v>
      </x:c>
      <x:c r="D54" s="8" t="n">
        <x:f>ROUND('Sources and Notes'!H68+'Sources and Notes'!J68,2)</x:f>
        <x:v>73.35</x:v>
      </x:c>
      <x:c r="E54" s="8" t="n">
        <x:v>0.35</x:v>
      </x:c>
      <x:c r="F54" s="9" t="n">
        <x:f>ROUND('Sources and Notes'!K68/4.184,1)</x:f>
        <x:v>296.6</x:v>
      </x:c>
      <x:c r="G54" s="7"/>
      <x:c r="H54" s="9"/>
      <x:c r="I54" s="7"/>
      <x:c r="J54" s="9"/>
      <x:c r="K54" s="7"/>
      <x:c r="L54" s="9"/>
    </x:row>
    <x:row r="55" ht="33" customHeight="1">
      <x:c r="A55" s="2" t="n">
        <x:v>54</x:v>
      </x:c>
      <x:c r="B55" s="5" t="str">
        <x:v>Sapota / chikoo, raw, edible portion</x:v>
      </x:c>
      <x:c r="C55" s="3" t="n">
        <x:v>0.92</x:v>
      </x:c>
      <x:c r="D55" s="3" t="n">
        <x:f>ROUND('Sources and Notes'!H69+'Sources and Notes'!J69,2)</x:f>
        <x:v>23.5</x:v>
      </x:c>
      <x:c r="E55" s="3" t="n">
        <x:v>1.26</x:v>
      </x:c>
      <x:c r="F55" s="4" t="n">
        <x:f>ROUND('Sources and Notes'!K69/4.184,1)</x:f>
        <x:v>73.4</x:v>
      </x:c>
      <x:c r="G55" s="5"/>
      <x:c r="H55" s="4"/>
      <x:c r="I55" s="5"/>
      <x:c r="J55" s="4"/>
      <x:c r="K55" s="5"/>
      <x:c r="L55" s="4"/>
    </x:row>
    <x:row r="56" ht="33" customHeight="1">
      <x:c r="A56" s="6" t="n">
        <x:v>55</x:v>
      </x:c>
      <x:c r="B56" s="7" t="str">
        <x:v>Tamarind / imli pulp</x:v>
      </x:c>
      <x:c r="C56" s="8" t="n">
        <x:v>2.92</x:v>
      </x:c>
      <x:c r="D56" s="8" t="n">
        <x:f>ROUND('Sources and Notes'!H70+'Sources and Notes'!J70,2)</x:f>
        <x:v>72.66</x:v>
      </x:c>
      <x:c r="E56" s="8" t="n">
        <x:v>0.15</x:v>
      </x:c>
      <x:c r="F56" s="9" t="n">
        <x:f>ROUND('Sources and Notes'!K70/4.184,1)</x:f>
        <x:v>288.5</x:v>
      </x:c>
      <x:c r="G56" s="7"/>
      <x:c r="H56" s="9"/>
      <x:c r="I56" s="7"/>
      <x:c r="J56" s="9"/>
      <x:c r="K56" s="7"/>
      <x:c r="L56" s="9"/>
    </x:row>
    <x:row r="57" ht="33" customHeight="1">
      <x:c r="A57" s="2" t="n">
        <x:v>56</x:v>
      </x:c>
      <x:c r="B57" s="5" t="str">
        <x:v>Arbi / colocasia, raw, edible portion</x:v>
      </x:c>
      <x:c r="C57" s="3" t="n">
        <x:v>3.31</x:v>
      </x:c>
      <x:c r="D57" s="3" t="n">
        <x:f>ROUND('Sources and Notes'!H71+'Sources and Notes'!J71,2)</x:f>
        <x:v>21.07</x:v>
      </x:c>
      <x:c r="E57" s="3" t="n">
        <x:v>0.17</x:v>
      </x:c>
      <x:c r="F57" s="4" t="n">
        <x:f>ROUND('Sources and Notes'!K71/4.184,1)</x:f>
        <x:v>88.9</x:v>
      </x:c>
      <x:c r="G57" s="5"/>
      <x:c r="H57" s="4"/>
      <x:c r="I57" s="5"/>
      <x:c r="J57" s="4"/>
      <x:c r="K57" s="5"/>
      <x:c r="L57" s="4"/>
    </x:row>
    <x:row r="58" ht="33" customHeight="1">
      <x:c r="A58" s="6" t="n">
        <x:v>57</x:v>
      </x:c>
      <x:c r="B58" s="7" t="str">
        <x:v>Lotus root / kamal kakdi, raw</x:v>
      </x:c>
      <x:c r="C58" s="8" t="n">
        <x:v>1.94</x:v>
      </x:c>
      <x:c r="D58" s="8" t="n">
        <x:f>ROUND('Sources and Notes'!H72+'Sources and Notes'!J72,2)</x:f>
        <x:v>19.37</x:v>
      </x:c>
      <x:c r="E58" s="8" t="n">
        <x:v>0.93</x:v>
      </x:c>
      <x:c r="F58" s="9" t="n">
        <x:f>ROUND('Sources and Notes'!K72/4.184,1)</x:f>
        <x:v>79.3</x:v>
      </x:c>
      <x:c r="G58" s="7"/>
      <x:c r="H58" s="9"/>
      <x:c r="I58" s="7"/>
      <x:c r="J58" s="9"/>
      <x:c r="K58" s="7"/>
      <x:c r="L58" s="9"/>
    </x:row>
    <x:row r="59" ht="33" customHeight="1">
      <x:c r="A59" s="2" t="n">
        <x:v>58</x:v>
      </x:c>
      <x:c r="B59" s="5" t="str">
        <x:v>Potato, brown skin variety, raw, edible portion</x:v>
      </x:c>
      <x:c r="C59" s="3" t="n">
        <x:v>1.54</x:v>
      </x:c>
      <x:c r="D59" s="3" t="n">
        <x:f>ROUND('Sources and Notes'!H73+'Sources and Notes'!J73,2)</x:f>
        <x:v>16.6</x:v>
      </x:c>
      <x:c r="E59" s="3" t="n">
        <x:v>0.23</x:v>
      </x:c>
      <x:c r="F59" s="4" t="n">
        <x:f>ROUND('Sources and Notes'!K73/4.184,1)</x:f>
        <x:v>69.8</x:v>
      </x:c>
      <x:c r="G59" s="5"/>
      <x:c r="H59" s="4"/>
      <x:c r="I59" s="5"/>
      <x:c r="J59" s="4"/>
      <x:c r="K59" s="5"/>
      <x:c r="L59" s="4"/>
    </x:row>
    <x:row r="60" ht="33" customHeight="1">
      <x:c r="A60" s="6" t="n">
        <x:v>59</x:v>
      </x:c>
      <x:c r="B60" s="7" t="str">
        <x:v>Sweet potato, brown skin variety, raw</x:v>
      </x:c>
      <x:c r="C60" s="8" t="n">
        <x:v>1.33</x:v>
      </x:c>
      <x:c r="D60" s="8" t="n">
        <x:f>ROUND('Sources and Notes'!H74+'Sources and Notes'!J74,2)</x:f>
        <x:v>28.24</x:v>
      </x:c>
      <x:c r="E60" s="8" t="n">
        <x:v>0.26</x:v>
      </x:c>
      <x:c r="F60" s="9" t="n">
        <x:f>ROUND('Sources and Notes'!K74/4.184,1)</x:f>
        <x:v>109</x:v>
      </x:c>
      <x:c r="G60" s="7"/>
      <x:c r="H60" s="9"/>
      <x:c r="I60" s="7"/>
      <x:c r="J60" s="9"/>
      <x:c r="K60" s="7"/>
      <x:c r="L60" s="9"/>
    </x:row>
    <x:row r="61" ht="33" customHeight="1">
      <x:c r="A61" s="2" t="n">
        <x:v>60</x:v>
      </x:c>
      <x:c r="B61" s="5" t="str">
        <x:v>Cassava / tapioca root, raw</x:v>
      </x:c>
      <x:c r="C61" s="3" t="n">
        <x:v>1.03</x:v>
      </x:c>
      <x:c r="D61" s="3" t="n">
        <x:f>ROUND('Sources and Notes'!H75+'Sources and Notes'!J75,2)</x:f>
        <x:v>22.42</x:v>
      </x:c>
      <x:c r="E61" s="3" t="n">
        <x:v>0.2</x:v>
      </x:c>
      <x:c r="F61" s="4" t="n">
        <x:f>ROUND('Sources and Notes'!K75/4.184,1)</x:f>
        <x:v>79.8</x:v>
      </x:c>
      <x:c r="G61" s="5"/>
      <x:c r="H61" s="4"/>
      <x:c r="I61" s="5"/>
      <x:c r="J61" s="4"/>
      <x:c r="K61" s="5"/>
      <x:c r="L61" s="4"/>
    </x:row>
    <x:row r="62" ht="33" customHeight="1">
      <x:c r="A62" s="6" t="n">
        <x:v>61</x:v>
      </x:c>
      <x:c r="B62" s="7" t="str">
        <x:v>Water chestnut / singhara, fresh, edible portion</x:v>
      </x:c>
      <x:c r="C62" s="8" t="n">
        <x:v>0.86</x:v>
      </x:c>
      <x:c r="D62" s="8" t="n">
        <x:f>ROUND('Sources and Notes'!H76+'Sources and Notes'!J76,2)</x:f>
        <x:v>24.48</x:v>
      </x:c>
      <x:c r="E62" s="8" t="n">
        <x:v>0.37</x:v>
      </x:c>
      <x:c r="F62" s="9" t="n">
        <x:f>ROUND('Sources and Notes'!K76/4.184,1)</x:f>
        <x:v>95.6</x:v>
      </x:c>
      <x:c r="G62" s="7"/>
      <x:c r="H62" s="9"/>
      <x:c r="I62" s="7"/>
      <x:c r="J62" s="9"/>
      <x:c r="K62" s="7"/>
      <x:c r="L62" s="9"/>
    </x:row>
    <x:row r="63" ht="33" customHeight="1">
      <x:c r="A63" s="2" t="n">
        <x:v>62</x:v>
      </x:c>
      <x:c r="B63" s="5" t="str">
        <x:v>Elephant foot yam / suran, raw</x:v>
      </x:c>
      <x:c r="C63" s="3" t="n">
        <x:v>2.56</x:v>
      </x:c>
      <x:c r="D63" s="3" t="n">
        <x:f>ROUND('Sources and Notes'!H77+'Sources and Notes'!J77,2)</x:f>
        <x:v>21.63</x:v>
      </x:c>
      <x:c r="E63" s="3" t="n">
        <x:v>0.14</x:v>
      </x:c>
      <x:c r="F63" s="4" t="n">
        <x:f>ROUND('Sources and Notes'!K77/4.184,1)</x:f>
        <x:v>84.4</x:v>
      </x:c>
      <x:c r="G63" s="5"/>
      <x:c r="H63" s="4"/>
      <x:c r="I63" s="5"/>
      <x:c r="J63" s="4"/>
      <x:c r="K63" s="5"/>
      <x:c r="L63" s="4"/>
    </x:row>
    <x:row r="64" ht="33" customHeight="1">
      <x:c r="A64" s="6" t="n">
        <x:v>63</x:v>
      </x:c>
      <x:c r="B64" s="7" t="str">
        <x:v>Yam, ordinary, raw</x:v>
      </x:c>
      <x:c r="C64" s="8" t="n">
        <x:v>2.18</x:v>
      </x:c>
      <x:c r="D64" s="8" t="n">
        <x:f>ROUND('Sources and Notes'!H78+'Sources and Notes'!J78,2)</x:f>
        <x:v>21.73</x:v>
      </x:c>
      <x:c r="E64" s="8" t="n">
        <x:v>0.17</x:v>
      </x:c>
      <x:c r="F64" s="9" t="n">
        <x:f>ROUND('Sources and Notes'!K78/4.184,1)</x:f>
        <x:v>83.4</x:v>
      </x:c>
      <x:c r="G64" s="7"/>
      <x:c r="H64" s="9"/>
      <x:c r="I64" s="7"/>
      <x:c r="J64" s="9"/>
      <x:c r="K64" s="7"/>
      <x:c r="L64" s="9"/>
    </x:row>
    <x:row r="65" ht="33" customHeight="1">
      <x:c r="A65" s="2" t="n">
        <x:v>64</x:v>
      </x:c>
      <x:c r="B65" s="5" t="str">
        <x:v>Cane jaggery / gur</x:v>
      </x:c>
      <x:c r="C65" s="3" t="n">
        <x:v>1.85</x:v>
      </x:c>
      <x:c r="D65" s="3" t="n">
        <x:f>ROUND('Sources and Notes'!H79+'Sources and Notes'!J79,2)</x:f>
        <x:v>84.87</x:v>
      </x:c>
      <x:c r="E65" s="3" t="n">
        <x:v>0.16</x:v>
      </x:c>
      <x:c r="F65" s="4" t="n">
        <x:f>ROUND('Sources and Notes'!K79/4.184,1)</x:f>
        <x:v>353.7</x:v>
      </x:c>
      <x:c r="G65" s="5"/>
      <x:c r="H65" s="4"/>
      <x:c r="I65" s="5"/>
      <x:c r="J65" s="4"/>
      <x:c r="K65" s="5"/>
      <x:c r="L65" s="4"/>
    </x:row>
    <x:row r="66" ht="33" customHeight="1">
      <x:c r="A66" s="6" t="n">
        <x:v>65</x:v>
      </x:c>
      <x:c r="B66" s="7" t="str">
        <x:v>Rolled / quick oats, dry, unfortified</x:v>
      </x:c>
      <x:c r="C66" s="8" t="n">
        <x:v>13.15</x:v>
      </x:c>
      <x:c r="D66" s="8" t="n">
        <x:v>67.7</x:v>
      </x:c>
      <x:c r="E66" s="8" t="n">
        <x:v>6.52</x:v>
      </x:c>
      <x:c r="F66" s="9" t="n">
        <x:v>379</x:v>
      </x:c>
      <x:c r="G66" s="7" t="str">
        <x:v>1 cup</x:v>
      </x:c>
      <x:c r="H66" s="9" t="n">
        <x:v>81</x:v>
      </x:c>
      <x:c r="I66" s="7" t="str">
        <x:v>0.333 cup</x:v>
      </x:c>
      <x:c r="J66" s="9" t="n">
        <x:v>27</x:v>
      </x:c>
      <x:c r="K66" s="7"/>
      <x:c r="L66" s="9"/>
    </x:row>
    <x:row r="67" ht="33" customHeight="1">
      <x:c r="A67" s="2" t="n">
        <x:v>66</x:v>
      </x:c>
      <x:c r="B67" s="5" t="str">
        <x:v>Oats, cooked in water, no salt</x:v>
      </x:c>
      <x:c r="C67" s="3" t="n">
        <x:v>2.54</x:v>
      </x:c>
      <x:c r="D67" s="3" t="n">
        <x:v>12</x:v>
      </x:c>
      <x:c r="E67" s="3" t="n">
        <x:v>1.52</x:v>
      </x:c>
      <x:c r="F67" s="4" t="n">
        <x:v>71</x:v>
      </x:c>
      <x:c r="G67" s="5" t="str">
        <x:v>1 tbsp</x:v>
      </x:c>
      <x:c r="H67" s="4" t="n">
        <x:v>14.6</x:v>
      </x:c>
      <x:c r="I67" s="5" t="str">
        <x:v>1 cup</x:v>
      </x:c>
      <x:c r="J67" s="4" t="n">
        <x:v>234</x:v>
      </x:c>
      <x:c r="K67" s="5" t="str">
        <x:v>0.75 cup</x:v>
      </x:c>
      <x:c r="L67" s="4" t="n">
        <x:v>175</x:v>
      </x:c>
    </x:row>
    <x:row r="68" ht="33" customHeight="1">
      <x:c r="A68" s="6" t="n">
        <x:v>67</x:v>
      </x:c>
      <x:c r="B68" s="7" t="str">
        <x:v>White long-grain rice, cooked, enriched</x:v>
      </x:c>
      <x:c r="C68" s="8" t="n">
        <x:v>2.69</x:v>
      </x:c>
      <x:c r="D68" s="8" t="n">
        <x:v>28.17</x:v>
      </x:c>
      <x:c r="E68" s="8" t="n">
        <x:v>0.28</x:v>
      </x:c>
      <x:c r="F68" s="9" t="n">
        <x:v>130</x:v>
      </x:c>
      <x:c r="G68" s="7" t="str">
        <x:v>1 cup</x:v>
      </x:c>
      <x:c r="H68" s="9" t="n">
        <x:v>158</x:v>
      </x:c>
      <x:c r="I68" s="7"/>
      <x:c r="J68" s="9"/>
      <x:c r="K68" s="7"/>
      <x:c r="L68" s="9"/>
    </x:row>
    <x:row r="69" ht="33" customHeight="1">
      <x:c r="A69" s="2" t="n">
        <x:v>68</x:v>
      </x:c>
      <x:c r="B69" s="5" t="str">
        <x:v>Brown long-grain rice, cooked</x:v>
      </x:c>
      <x:c r="C69" s="3" t="n">
        <x:v>2.74</x:v>
      </x:c>
      <x:c r="D69" s="3" t="n">
        <x:v>25.58</x:v>
      </x:c>
      <x:c r="E69" s="3" t="n">
        <x:v>0.97</x:v>
      </x:c>
      <x:c r="F69" s="4" t="n">
        <x:v>123</x:v>
      </x:c>
      <x:c r="G69" s="5" t="str">
        <x:v>1 cup</x:v>
      </x:c>
      <x:c r="H69" s="4" t="n">
        <x:v>202</x:v>
      </x:c>
      <x:c r="I69" s="5"/>
      <x:c r="J69" s="4"/>
      <x:c r="K69" s="5"/>
      <x:c r="L69" s="4"/>
    </x:row>
    <x:row r="70" ht="33" customHeight="1">
      <x:c r="A70" s="6" t="n">
        <x:v>69</x:v>
      </x:c>
      <x:c r="B70" s="7" t="str">
        <x:v>Parboiled white long-grain rice, cooked, enriched</x:v>
      </x:c>
      <x:c r="C70" s="8" t="n">
        <x:v>2.91</x:v>
      </x:c>
      <x:c r="D70" s="8" t="n">
        <x:v>26.05</x:v>
      </x:c>
      <x:c r="E70" s="8" t="n">
        <x:v>0.37</x:v>
      </x:c>
      <x:c r="F70" s="9" t="n">
        <x:v>123</x:v>
      </x:c>
      <x:c r="G70" s="7" t="str">
        <x:v>1 cup</x:v>
      </x:c>
      <x:c r="H70" s="9" t="n">
        <x:v>158</x:v>
      </x:c>
      <x:c r="I70" s="7"/>
      <x:c r="J70" s="9"/>
      <x:c r="K70" s="7"/>
      <x:c r="L70" s="9"/>
    </x:row>
    <x:row r="71" ht="33" customHeight="1">
      <x:c r="A71" s="2" t="n">
        <x:v>70</x:v>
      </x:c>
      <x:c r="B71" s="5" t="str">
        <x:v>Quinoa, cooked</x:v>
      </x:c>
      <x:c r="C71" s="3" t="n">
        <x:v>4.4</x:v>
      </x:c>
      <x:c r="D71" s="3" t="n">
        <x:v>21.3</x:v>
      </x:c>
      <x:c r="E71" s="3" t="n">
        <x:v>1.92</x:v>
      </x:c>
      <x:c r="F71" s="4" t="n">
        <x:v>120</x:v>
      </x:c>
      <x:c r="G71" s="5" t="str">
        <x:v>1 cup</x:v>
      </x:c>
      <x:c r="H71" s="4" t="n">
        <x:v>185</x:v>
      </x:c>
      <x:c r="I71" s="5"/>
      <x:c r="J71" s="4"/>
      <x:c r="K71" s="5"/>
      <x:c r="L71" s="4"/>
    </x:row>
    <x:row r="72" ht="33" customHeight="1">
      <x:c r="A72" s="6" t="n">
        <x:v>71</x:v>
      </x:c>
      <x:c r="B72" s="7" t="str">
        <x:v>Pearled barley, cooked</x:v>
      </x:c>
      <x:c r="C72" s="8" t="n">
        <x:v>2.26</x:v>
      </x:c>
      <x:c r="D72" s="8" t="n">
        <x:v>28.22</x:v>
      </x:c>
      <x:c r="E72" s="8" t="n">
        <x:v>0.44</x:v>
      </x:c>
      <x:c r="F72" s="9" t="n">
        <x:v>123</x:v>
      </x:c>
      <x:c r="G72" s="7" t="str">
        <x:v>1 cup</x:v>
      </x:c>
      <x:c r="H72" s="9" t="n">
        <x:v>157</x:v>
      </x:c>
      <x:c r="I72" s="7"/>
      <x:c r="J72" s="9"/>
      <x:c r="K72" s="7"/>
      <x:c r="L72" s="9"/>
    </x:row>
    <x:row r="73" ht="33" customHeight="1">
      <x:c r="A73" s="2" t="n">
        <x:v>72</x:v>
      </x:c>
      <x:c r="B73" s="5" t="str">
        <x:v>Bulgur / daliya, cooked</x:v>
      </x:c>
      <x:c r="C73" s="3" t="n">
        <x:v>3.08</x:v>
      </x:c>
      <x:c r="D73" s="3" t="n">
        <x:v>18.58</x:v>
      </x:c>
      <x:c r="E73" s="3" t="n">
        <x:v>0.24</x:v>
      </x:c>
      <x:c r="F73" s="4" t="n">
        <x:v>83</x:v>
      </x:c>
      <x:c r="G73" s="5" t="str">
        <x:v>1 tbsp</x:v>
      </x:c>
      <x:c r="H73" s="4" t="n">
        <x:v>8.4</x:v>
      </x:c>
      <x:c r="I73" s="5" t="str">
        <x:v>1 cup</x:v>
      </x:c>
      <x:c r="J73" s="4" t="n">
        <x:v>182</x:v>
      </x:c>
      <x:c r="K73" s="5"/>
      <x:c r="L73" s="4"/>
    </x:row>
    <x:row r="74" ht="33" customHeight="1">
      <x:c r="A74" s="6" t="n">
        <x:v>73</x:v>
      </x:c>
      <x:c r="B74" s="7" t="str">
        <x:v>Amaranth / rajgira grain, cooked</x:v>
      </x:c>
      <x:c r="C74" s="8" t="n">
        <x:v>3.8</x:v>
      </x:c>
      <x:c r="D74" s="8" t="n">
        <x:v>18.69</x:v>
      </x:c>
      <x:c r="E74" s="8" t="n">
        <x:v>1.58</x:v>
      </x:c>
      <x:c r="F74" s="9" t="n">
        <x:v>102</x:v>
      </x:c>
      <x:c r="G74" s="7" t="str">
        <x:v>1 cup</x:v>
      </x:c>
      <x:c r="H74" s="9" t="n">
        <x:v>246</x:v>
      </x:c>
      <x:c r="I74" s="7"/>
      <x:c r="J74" s="9"/>
      <x:c r="K74" s="7"/>
      <x:c r="L74" s="9"/>
    </x:row>
    <x:row r="75" ht="33" customHeight="1">
      <x:c r="A75" s="2" t="n">
        <x:v>74</x:v>
      </x:c>
      <x:c r="B75" s="5" t="str">
        <x:v>Buckwheat / kuttu, grain, dry</x:v>
      </x:c>
      <x:c r="C75" s="3" t="n">
        <x:v>13.25</x:v>
      </x:c>
      <x:c r="D75" s="3" t="n">
        <x:v>71.5</x:v>
      </x:c>
      <x:c r="E75" s="3" t="n">
        <x:v>3.4</x:v>
      </x:c>
      <x:c r="F75" s="4" t="n">
        <x:v>343</x:v>
      </x:c>
      <x:c r="G75" s="5" t="str">
        <x:v>1 cup</x:v>
      </x:c>
      <x:c r="H75" s="4" t="n">
        <x:v>170</x:v>
      </x:c>
      <x:c r="I75" s="5"/>
      <x:c r="J75" s="4"/>
      <x:c r="K75" s="5"/>
      <x:c r="L75" s="4"/>
    </x:row>
    <x:row r="76" ht="33" customHeight="1">
      <x:c r="A76" s="6" t="n">
        <x:v>75</x:v>
      </x:c>
      <x:c r="B76" s="7" t="str">
        <x:v>Buckwheat / kuttu flour, whole-groat, dry</x:v>
      </x:c>
      <x:c r="C76" s="8" t="n">
        <x:v>12.62</x:v>
      </x:c>
      <x:c r="D76" s="8" t="n">
        <x:v>70.59</x:v>
      </x:c>
      <x:c r="E76" s="8" t="n">
        <x:v>3.1</x:v>
      </x:c>
      <x:c r="F76" s="9" t="n">
        <x:v>335</x:v>
      </x:c>
      <x:c r="G76" s="7" t="str">
        <x:v>1 cup</x:v>
      </x:c>
      <x:c r="H76" s="9" t="n">
        <x:v>120</x:v>
      </x:c>
      <x:c r="I76" s="7"/>
      <x:c r="J76" s="9"/>
      <x:c r="K76" s="7"/>
      <x:c r="L76" s="9"/>
    </x:row>
    <x:row r="77" ht="33" customHeight="1">
      <x:c r="A77" s="2" t="n">
        <x:v>76</x:v>
      </x:c>
      <x:c r="B77" s="5" t="str">
        <x:v>Sabudana / tapioca pearls, dry</x:v>
      </x:c>
      <x:c r="C77" s="3" t="n">
        <x:v>0.19</x:v>
      </x:c>
      <x:c r="D77" s="3" t="n">
        <x:v>88.69</x:v>
      </x:c>
      <x:c r="E77" s="3" t="n">
        <x:v>0.02</x:v>
      </x:c>
      <x:c r="F77" s="4" t="n">
        <x:v>358</x:v>
      </x:c>
      <x:c r="G77" s="5" t="str">
        <x:v>1 cup</x:v>
      </x:c>
      <x:c r="H77" s="4" t="n">
        <x:v>152</x:v>
      </x:c>
      <x:c r="I77" s="5"/>
      <x:c r="J77" s="4"/>
      <x:c r="K77" s="5"/>
      <x:c r="L77" s="4"/>
    </x:row>
    <x:row r="78" ht="33" customHeight="1">
      <x:c r="A78" s="6" t="n">
        <x:v>77</x:v>
      </x:c>
      <x:c r="B78" s="7" t="str">
        <x:v>White rice flour, dry, unenriched</x:v>
      </x:c>
      <x:c r="C78" s="8" t="n">
        <x:v>5.95</x:v>
      </x:c>
      <x:c r="D78" s="8" t="n">
        <x:v>80.13</x:v>
      </x:c>
      <x:c r="E78" s="8" t="n">
        <x:v>1.42</x:v>
      </x:c>
      <x:c r="F78" s="9" t="n">
        <x:v>366</x:v>
      </x:c>
      <x:c r="G78" s="7" t="str">
        <x:v>1 cup</x:v>
      </x:c>
      <x:c r="H78" s="9" t="n">
        <x:v>158</x:v>
      </x:c>
      <x:c r="I78" s="7"/>
      <x:c r="J78" s="9"/>
      <x:c r="K78" s="7"/>
      <x:c r="L78" s="9"/>
    </x:row>
    <x:row r="79" ht="33" customHeight="1">
      <x:c r="A79" s="2" t="n">
        <x:v>78</x:v>
      </x:c>
      <x:c r="B79" s="5" t="str">
        <x:v>Corn starch / white cornflour, dry</x:v>
      </x:c>
      <x:c r="C79" s="3" t="n">
        <x:v>0.26</x:v>
      </x:c>
      <x:c r="D79" s="3" t="n">
        <x:v>91.27</x:v>
      </x:c>
      <x:c r="E79" s="3" t="n">
        <x:v>0.05</x:v>
      </x:c>
      <x:c r="F79" s="4" t="n">
        <x:v>381</x:v>
      </x:c>
      <x:c r="G79" s="5" t="str">
        <x:v>1 cup</x:v>
      </x:c>
      <x:c r="H79" s="4" t="n">
        <x:v>128</x:v>
      </x:c>
      <x:c r="I79" s="5"/>
      <x:c r="J79" s="4"/>
      <x:c r="K79" s="5"/>
      <x:c r="L79" s="4"/>
    </x:row>
    <x:row r="80" ht="33" customHeight="1">
      <x:c r="A80" s="6" t="n">
        <x:v>79</x:v>
      </x:c>
      <x:c r="B80" s="7" t="str">
        <x:v>Whole-wheat bread, commercial</x:v>
      </x:c>
      <x:c r="C80" s="8" t="n">
        <x:v>12.45</x:v>
      </x:c>
      <x:c r="D80" s="8" t="n">
        <x:v>42.71</x:v>
      </x:c>
      <x:c r="E80" s="8" t="n">
        <x:v>3.5</x:v>
      </x:c>
      <x:c r="F80" s="9" t="n">
        <x:v>252</x:v>
      </x:c>
      <x:c r="G80" s="7" t="str">
        <x:v>1 slice</x:v>
      </x:c>
      <x:c r="H80" s="9" t="n">
        <x:v>32</x:v>
      </x:c>
      <x:c r="I80" s="7"/>
      <x:c r="J80" s="9"/>
      <x:c r="K80" s="7"/>
      <x:c r="L80" s="9"/>
    </x:row>
    <x:row r="81" ht="33" customHeight="1">
      <x:c r="A81" s="2" t="n">
        <x:v>80</x:v>
      </x:c>
      <x:c r="B81" s="5" t="str">
        <x:v>White bread, commercial</x:v>
      </x:c>
      <x:c r="C81" s="3" t="n">
        <x:v>8.85</x:v>
      </x:c>
      <x:c r="D81" s="3" t="n">
        <x:v>49.42</x:v>
      </x:c>
      <x:c r="E81" s="3" t="n">
        <x:v>3.33</x:v>
      </x:c>
      <x:c r="F81" s="4" t="n">
        <x:v>266</x:v>
      </x:c>
      <x:c r="G81" s="5" t="str">
        <x:v>1 slice</x:v>
      </x:c>
      <x:c r="H81" s="4" t="n">
        <x:v>29</x:v>
      </x:c>
      <x:c r="I81" s="5" t="str">
        <x:v>1 slice</x:v>
      </x:c>
      <x:c r="J81" s="4" t="n">
        <x:v>25</x:v>
      </x:c>
      <x:c r="K81" s="5" t="str">
        <x:v>1 cup, crumbs</x:v>
      </x:c>
      <x:c r="L81" s="4" t="n">
        <x:v>45</x:v>
      </x:c>
    </x:row>
    <x:row r="82" ht="33" customHeight="1">
      <x:c r="A82" s="6" t="n">
        <x:v>81</x:v>
      </x:c>
      <x:c r="B82" s="7" t="str">
        <x:v>Multigrain bread, commercial</x:v>
      </x:c>
      <x:c r="C82" s="8" t="n">
        <x:v>13.36</x:v>
      </x:c>
      <x:c r="D82" s="8" t="n">
        <x:v>43.34</x:v>
      </x:c>
      <x:c r="E82" s="8" t="n">
        <x:v>4.23</x:v>
      </x:c>
      <x:c r="F82" s="9" t="n">
        <x:v>265</x:v>
      </x:c>
      <x:c r="G82" s="7" t="str">
        <x:v>1 slice regular</x:v>
      </x:c>
      <x:c r="H82" s="9" t="n">
        <x:v>26</x:v>
      </x:c>
      <x:c r="I82" s="7" t="str">
        <x:v>1 slice large</x:v>
      </x:c>
      <x:c r="J82" s="9" t="n">
        <x:v>41</x:v>
      </x:c>
      <x:c r="K82" s="7"/>
      <x:c r="L82" s="9"/>
    </x:row>
    <x:row r="83" ht="33" customHeight="1">
      <x:c r="A83" s="2" t="n">
        <x:v>82</x:v>
      </x:c>
      <x:c r="B83" s="5" t="str">
        <x:v>Roti / chapati, plain, commercial recipe</x:v>
      </x:c>
      <x:c r="C83" s="3" t="n">
        <x:v>11.25</x:v>
      </x:c>
      <x:c r="D83" s="3" t="n">
        <x:v>46.36</x:v>
      </x:c>
      <x:c r="E83" s="3" t="n">
        <x:v>7.45</x:v>
      </x:c>
      <x:c r="F83" s="4" t="n">
        <x:v>297</x:v>
      </x:c>
      <x:c r="G83" s="5" t="str">
        <x:v>1 piece</x:v>
      </x:c>
      <x:c r="H83" s="4" t="n">
        <x:v>68</x:v>
      </x:c>
      <x:c r="I83" s="5"/>
      <x:c r="J83" s="4"/>
      <x:c r="K83" s="5"/>
      <x:c r="L83" s="4"/>
    </x:row>
    <x:row r="84" ht="33" customHeight="1">
      <x:c r="A84" s="6" t="n">
        <x:v>83</x:v>
      </x:c>
      <x:c r="B84" s="7" t="str">
        <x:v>Naan, plain, commercial, refrigerated</x:v>
      </x:c>
      <x:c r="C84" s="8" t="n">
        <x:v>9.62</x:v>
      </x:c>
      <x:c r="D84" s="8" t="n">
        <x:v>50.43</x:v>
      </x:c>
      <x:c r="E84" s="8" t="n">
        <x:v>5.65</x:v>
      </x:c>
      <x:c r="F84" s="9" t="n">
        <x:v>291</x:v>
      </x:c>
      <x:c r="G84" s="7" t="str">
        <x:v>1 piece</x:v>
      </x:c>
      <x:c r="H84" s="9" t="n">
        <x:v>90</x:v>
      </x:c>
      <x:c r="I84" s="7"/>
      <x:c r="J84" s="9"/>
      <x:c r="K84" s="7"/>
      <x:c r="L84" s="9"/>
    </x:row>
    <x:row r="85" ht="33" customHeight="1">
      <x:c r="A85" s="2" t="n">
        <x:v>84</x:v>
      </x:c>
      <x:c r="B85" s="5" t="str">
        <x:v>Whole-wheat paratha, commercial, frozen</x:v>
      </x:c>
      <x:c r="C85" s="3" t="n">
        <x:v>6.36</x:v>
      </x:c>
      <x:c r="D85" s="3" t="n">
        <x:v>45.35</x:v>
      </x:c>
      <x:c r="E85" s="3" t="n">
        <x:v>13.2</x:v>
      </x:c>
      <x:c r="F85" s="4" t="n">
        <x:v>326</x:v>
      </x:c>
      <x:c r="G85" s="5" t="str">
        <x:v>1 piece</x:v>
      </x:c>
      <x:c r="H85" s="4" t="n">
        <x:v>79</x:v>
      </x:c>
      <x:c r="I85" s="5"/>
      <x:c r="J85" s="4"/>
      <x:c r="K85" s="5"/>
      <x:c r="L85" s="4"/>
    </x:row>
    <x:row r="86" ht="33" customHeight="1">
      <x:c r="A86" s="6" t="n">
        <x:v>85</x:v>
      </x:c>
      <x:c r="B86" s="7" t="str">
        <x:v>Pasta, dry, unenriched</x:v>
      </x:c>
      <x:c r="C86" s="8" t="n">
        <x:v>13.04</x:v>
      </x:c>
      <x:c r="D86" s="8" t="n">
        <x:v>74.67</x:v>
      </x:c>
      <x:c r="E86" s="8" t="n">
        <x:v>1.51</x:v>
      </x:c>
      <x:c r="F86" s="9" t="n">
        <x:v>371</x:v>
      </x:c>
      <x:c r="G86" s="7" t="str">
        <x:v>1 cup spaghetti</x:v>
      </x:c>
      <x:c r="H86" s="9" t="n">
        <x:v>91</x:v>
      </x:c>
      <x:c r="I86" s="7" t="str">
        <x:v>1 cup penne</x:v>
      </x:c>
      <x:c r="J86" s="9" t="n">
        <x:v>95</x:v>
      </x:c>
      <x:c r="K86" s="7" t="str">
        <x:v>1 cup farfalle</x:v>
      </x:c>
      <x:c r="L86" s="9" t="n">
        <x:v>81</x:v>
      </x:c>
    </x:row>
    <x:row r="87" ht="33" customHeight="1">
      <x:c r="A87" s="2" t="n">
        <x:v>86</x:v>
      </x:c>
      <x:c r="B87" s="5" t="str">
        <x:v>Pasta, cooked, unenriched, no salt</x:v>
      </x:c>
      <x:c r="C87" s="3" t="n">
        <x:v>5.8</x:v>
      </x:c>
      <x:c r="D87" s="3" t="n">
        <x:v>30.86</x:v>
      </x:c>
      <x:c r="E87" s="3" t="n">
        <x:v>0.93</x:v>
      </x:c>
      <x:c r="F87" s="4" t="n">
        <x:v>158</x:v>
      </x:c>
      <x:c r="G87" s="5" t="str">
        <x:v>1 cup spaghetti not packed</x:v>
      </x:c>
      <x:c r="H87" s="4" t="n">
        <x:v>124</x:v>
      </x:c>
      <x:c r="I87" s="5" t="str">
        <x:v>1 cup spaghetti packed</x:v>
      </x:c>
      <x:c r="J87" s="4" t="n">
        <x:v>151</x:v>
      </x:c>
      <x:c r="K87" s="5" t="str">
        <x:v>1 cup penne</x:v>
      </x:c>
      <x:c r="L87" s="4" t="n">
        <x:v>107</x:v>
      </x:c>
    </x:row>
    <x:row r="88" ht="33" customHeight="1">
      <x:c r="A88" s="6" t="n">
        <x:v>87</x:v>
      </x:c>
      <x:c r="B88" s="7" t="str">
        <x:v>Egg noodles, dry, enriched</x:v>
      </x:c>
      <x:c r="C88" s="8" t="n">
        <x:v>14.16</x:v>
      </x:c>
      <x:c r="D88" s="8" t="n">
        <x:v>71.27</x:v>
      </x:c>
      <x:c r="E88" s="8" t="n">
        <x:v>4.44</x:v>
      </x:c>
      <x:c r="F88" s="9" t="n">
        <x:v>384</x:v>
      </x:c>
      <x:c r="G88" s="7" t="str">
        <x:v>1 cup</x:v>
      </x:c>
      <x:c r="H88" s="9" t="n">
        <x:v>38</x:v>
      </x:c>
      <x:c r="I88" s="7"/>
      <x:c r="J88" s="9"/>
      <x:c r="K88" s="7"/>
      <x:c r="L88" s="9"/>
    </x:row>
    <x:row r="89" ht="33" customHeight="1">
      <x:c r="A89" s="2" t="n">
        <x:v>88</x:v>
      </x:c>
      <x:c r="B89" s="5" t="str">
        <x:v>Egg noodles, cooked, enriched</x:v>
      </x:c>
      <x:c r="C89" s="3" t="n">
        <x:v>4.54</x:v>
      </x:c>
      <x:c r="D89" s="3" t="n">
        <x:v>25.16</x:v>
      </x:c>
      <x:c r="E89" s="3" t="n">
        <x:v>2.07</x:v>
      </x:c>
      <x:c r="F89" s="4" t="n">
        <x:v>138</x:v>
      </x:c>
      <x:c r="G89" s="5" t="str">
        <x:v>1 cup</x:v>
      </x:c>
      <x:c r="H89" s="4" t="n">
        <x:v>160</x:v>
      </x:c>
      <x:c r="I89" s="5"/>
      <x:c r="J89" s="4"/>
      <x:c r="K89" s="5"/>
      <x:c r="L89" s="4"/>
    </x:row>
    <x:row r="90" ht="33" customHeight="1">
      <x:c r="A90" s="6" t="n">
        <x:v>89</x:v>
      </x:c>
      <x:c r="B90" s="7" t="str">
        <x:v>Kellogg's Corn Flakes, USDA US formulation</x:v>
      </x:c>
      <x:c r="C90" s="8" t="n">
        <x:v>7.5</x:v>
      </x:c>
      <x:c r="D90" s="8" t="n">
        <x:v>84.1</x:v>
      </x:c>
      <x:c r="E90" s="8" t="n">
        <x:v>0.4</x:v>
      </x:c>
      <x:c r="F90" s="9" t="n">
        <x:v>357</x:v>
      </x:c>
      <x:c r="G90" s="7" t="str">
        <x:v>1 cup (1 NLEA serving)</x:v>
      </x:c>
      <x:c r="H90" s="9" t="n">
        <x:v>28</x:v>
      </x:c>
      <x:c r="I90" s="7"/>
      <x:c r="J90" s="9"/>
      <x:c r="K90" s="7"/>
      <x:c r="L90" s="9"/>
    </x:row>
    <x:row r="91" ht="33" customHeight="1">
      <x:c r="A91" s="2" t="n">
        <x:v>90</x:v>
      </x:c>
      <x:c r="B91" s="5" t="str">
        <x:v>Honey</x:v>
      </x:c>
      <x:c r="C91" s="3" t="n">
        <x:v>0.3</x:v>
      </x:c>
      <x:c r="D91" s="3" t="n">
        <x:v>82.4</x:v>
      </x:c>
      <x:c r="E91" s="3" t="n">
        <x:v>0</x:v>
      </x:c>
      <x:c r="F91" s="4" t="n">
        <x:v>304</x:v>
      </x:c>
      <x:c r="G91" s="5" t="str">
        <x:v>1 tbsp</x:v>
      </x:c>
      <x:c r="H91" s="4" t="n">
        <x:v>21</x:v>
      </x:c>
      <x:c r="I91" s="5" t="str">
        <x:v>1 cup</x:v>
      </x:c>
      <x:c r="J91" s="4" t="n">
        <x:v>339</x:v>
      </x:c>
      <x:c r="K91" s="5" t="str">
        <x:v>1 packet (0.5 oz)</x:v>
      </x:c>
      <x:c r="L91" s="4" t="n">
        <x:v>14</x:v>
      </x:c>
    </x:row>
    <x:row r="92" ht="33" customHeight="1">
      <x:c r="A92" s="6" t="n">
        <x:v>91</x:v>
      </x:c>
      <x:c r="B92" s="7" t="str">
        <x:v>White granulated sugar</x:v>
      </x:c>
      <x:c r="C92" s="8" t="n">
        <x:v>0</x:v>
      </x:c>
      <x:c r="D92" s="8" t="n">
        <x:v>99.98</x:v>
      </x:c>
      <x:c r="E92" s="8" t="n">
        <x:v>0</x:v>
      </x:c>
      <x:c r="F92" s="9" t="n">
        <x:v>387</x:v>
      </x:c>
      <x:c r="G92" s="7" t="str">
        <x:v>1 tsp</x:v>
      </x:c>
      <x:c r="H92" s="9" t="n">
        <x:v>4.2</x:v>
      </x:c>
      <x:c r="I92" s="7" t="str">
        <x:v>1 cup</x:v>
      </x:c>
      <x:c r="J92" s="9" t="n">
        <x:v>200</x:v>
      </x:c>
      <x:c r="K92" s="7" t="str">
        <x:v>1 serving packet</x:v>
      </x:c>
      <x:c r="L92" s="9" t="n">
        <x:v>2.8</x:v>
      </x:c>
    </x:row>
    <x:row r="93" ht="33" customHeight="1">
      <x:c r="A93" s="2" t="n">
        <x:v>92</x:v>
      </x:c>
      <x:c r="B93" s="5" t="str">
        <x:v>Jam / fruit preserves, generic</x:v>
      </x:c>
      <x:c r="C93" s="3" t="n">
        <x:v>0.37</x:v>
      </x:c>
      <x:c r="D93" s="3" t="n">
        <x:v>68.86</x:v>
      </x:c>
      <x:c r="E93" s="3" t="n">
        <x:v>0.07</x:v>
      </x:c>
      <x:c r="F93" s="4" t="n">
        <x:v>278</x:v>
      </x:c>
      <x:c r="G93" s="5" t="str">
        <x:v>1 tbsp</x:v>
      </x:c>
      <x:c r="H93" s="4" t="n">
        <x:v>20</x:v>
      </x:c>
      <x:c r="I93" s="5" t="str">
        <x:v>1 packet (0.5 oz)</x:v>
      </x:c>
      <x:c r="J93" s="4" t="n">
        <x:v>14</x:v>
      </x:c>
      <x:c r="K93" s="5"/>
      <x:c r="L93" s="4"/>
    </x:row>
    <x:row r="94" ht="33" customHeight="1">
      <x:c r="A94" s="6" t="n">
        <x:v>93</x:v>
      </x:c>
      <x:c r="B94" s="7" t="str">
        <x:v>Potato, boiled without skin, no salt</x:v>
      </x:c>
      <x:c r="C94" s="8" t="n">
        <x:v>1.71</x:v>
      </x:c>
      <x:c r="D94" s="8" t="n">
        <x:v>20.01</x:v>
      </x:c>
      <x:c r="E94" s="8" t="n">
        <x:v>0.1</x:v>
      </x:c>
      <x:c r="F94" s="9" t="n">
        <x:v>86</x:v>
      </x:c>
      <x:c r="G94" s="7" t="str">
        <x:v>0.5 cup</x:v>
      </x:c>
      <x:c r="H94" s="9" t="n">
        <x:v>78</x:v>
      </x:c>
      <x:c r="I94" s="7" t="str">
        <x:v>1 large (3" to 4-1/4" dia.)</x:v>
      </x:c>
      <x:c r="J94" s="9" t="n">
        <x:v>300</x:v>
      </x:c>
      <x:c r="K94" s="7" t="str">
        <x:v>1 medium (2-1/4" to 3-1/4" dia.)</x:v>
      </x:c>
      <x:c r="L94" s="9" t="n">
        <x:v>167</x:v>
      </x:c>
    </x:row>
    <x:row r="95" ht="33" customHeight="1">
      <x:c r="A95" s="2" t="n">
        <x:v>94</x:v>
      </x:c>
      <x:c r="B95" s="5" t="str">
        <x:v>Sweet potato, boiled without skin</x:v>
      </x:c>
      <x:c r="C95" s="3" t="n">
        <x:v>1.37</x:v>
      </x:c>
      <x:c r="D95" s="3" t="n">
        <x:v>17.72</x:v>
      </x:c>
      <x:c r="E95" s="3" t="n">
        <x:v>0.14</x:v>
      </x:c>
      <x:c r="F95" s="4" t="n">
        <x:v>76</x:v>
      </x:c>
      <x:c r="G95" s="5" t="str">
        <x:v>1 medium</x:v>
      </x:c>
      <x:c r="H95" s="4" t="n">
        <x:v>151</x:v>
      </x:c>
      <x:c r="I95" s="5" t="str">
        <x:v>1 cup, mashed</x:v>
      </x:c>
      <x:c r="J95" s="4" t="n">
        <x:v>328</x:v>
      </x:c>
      <x:c r="K95" s="5"/>
      <x:c r="L95" s="4"/>
    </x:row>
    <x:row r="96" ht="33" customHeight="1">
      <x:c r="A96" s="6" t="n">
        <x:v>95</x:v>
      </x:c>
      <x:c r="B96" s="7" t="str">
        <x:v>Popcorn, air-popped</x:v>
      </x:c>
      <x:c r="C96" s="8" t="n">
        <x:v>12.94</x:v>
      </x:c>
      <x:c r="D96" s="8" t="n">
        <x:v>77.78</x:v>
      </x:c>
      <x:c r="E96" s="8" t="n">
        <x:v>4.54</x:v>
      </x:c>
      <x:c r="F96" s="9" t="n">
        <x:v>387</x:v>
      </x:c>
      <x:c r="G96" s="7" t="str">
        <x:v>1 cup</x:v>
      </x:c>
      <x:c r="H96" s="9" t="n">
        <x:v>8</x:v>
      </x:c>
      <x:c r="I96" s="7"/>
      <x:c r="J96" s="9"/>
      <x:c r="K96" s="7"/>
      <x:c r="L96" s="9"/>
    </x:row>
    <x:row r="97" ht="33" customHeight="1">
      <x:c r="A97" s="2" t="n">
        <x:v>96</x:v>
      </x:c>
      <x:c r="B97" s="5" t="str">
        <x:v>Chickpeas / kabuli chana, boiled, no salt</x:v>
      </x:c>
      <x:c r="C97" s="3" t="n">
        <x:v>8.86</x:v>
      </x:c>
      <x:c r="D97" s="3" t="n">
        <x:v>27.42</x:v>
      </x:c>
      <x:c r="E97" s="3" t="n">
        <x:v>2.59</x:v>
      </x:c>
      <x:c r="F97" s="4" t="n">
        <x:v>164</x:v>
      </x:c>
      <x:c r="G97" s="5" t="str">
        <x:v>1 cup</x:v>
      </x:c>
      <x:c r="H97" s="4" t="n">
        <x:v>164</x:v>
      </x:c>
      <x:c r="I97" s="5"/>
      <x:c r="J97" s="4"/>
      <x:c r="K97" s="5"/>
      <x:c r="L97" s="4"/>
    </x:row>
    <x:row r="98" ht="33" customHeight="1">
      <x:c r="A98" s="6" t="n">
        <x:v>97</x:v>
      </x:c>
      <x:c r="B98" s="7" t="str">
        <x:v>Lentils / masoor, boiled, no salt</x:v>
      </x:c>
      <x:c r="C98" s="8" t="n">
        <x:v>9.02</x:v>
      </x:c>
      <x:c r="D98" s="8" t="n">
        <x:v>20.13</x:v>
      </x:c>
      <x:c r="E98" s="8" t="n">
        <x:v>0.38</x:v>
      </x:c>
      <x:c r="F98" s="9" t="n">
        <x:v>116</x:v>
      </x:c>
      <x:c r="G98" s="7" t="str">
        <x:v>1 tbsp</x:v>
      </x:c>
      <x:c r="H98" s="9" t="n">
        <x:v>12.3</x:v>
      </x:c>
      <x:c r="I98" s="7" t="str">
        <x:v>1 cup</x:v>
      </x:c>
      <x:c r="J98" s="9" t="n">
        <x:v>198</x:v>
      </x:c>
      <x:c r="K98" s="7"/>
      <x:c r="L98" s="9"/>
    </x:row>
    <x:row r="99" ht="33" customHeight="1">
      <x:c r="A99" s="2" t="n">
        <x:v>98</x:v>
      </x:c>
      <x:c r="B99" s="5" t="str">
        <x:v>Red rajma, boiled, no salt</x:v>
      </x:c>
      <x:c r="C99" s="3" t="n">
        <x:v>8.67</x:v>
      </x:c>
      <x:c r="D99" s="3" t="n">
        <x:v>22.8</x:v>
      </x:c>
      <x:c r="E99" s="3" t="n">
        <x:v>0.5</x:v>
      </x:c>
      <x:c r="F99" s="4" t="n">
        <x:v>127</x:v>
      </x:c>
      <x:c r="G99" s="5" t="str">
        <x:v>1 tbsp</x:v>
      </x:c>
      <x:c r="H99" s="4" t="n">
        <x:v>11</x:v>
      </x:c>
      <x:c r="I99" s="5" t="str">
        <x:v>1 cup</x:v>
      </x:c>
      <x:c r="J99" s="4" t="n">
        <x:v>177</x:v>
      </x:c>
      <x:c r="K99" s="5"/>
      <x:c r="L99" s="4"/>
    </x:row>
    <x:row r="100" ht="33" customHeight="1">
      <x:c r="A100" s="6" t="n">
        <x:v>99</x:v>
      </x:c>
      <x:c r="B100" s="7" t="str">
        <x:v>Whole moong, boiled, no salt</x:v>
      </x:c>
      <x:c r="C100" s="8" t="n">
        <x:v>7.02</x:v>
      </x:c>
      <x:c r="D100" s="8" t="n">
        <x:v>19.15</x:v>
      </x:c>
      <x:c r="E100" s="8" t="n">
        <x:v>0.38</x:v>
      </x:c>
      <x:c r="F100" s="9" t="n">
        <x:v>105</x:v>
      </x:c>
      <x:c r="G100" s="7" t="str">
        <x:v>1 cup</x:v>
      </x:c>
      <x:c r="H100" s="9" t="n">
        <x:v>202</x:v>
      </x:c>
      <x:c r="I100" s="7"/>
      <x:c r="J100" s="9"/>
      <x:c r="K100" s="7"/>
      <x:c r="L100" s="9"/>
    </x:row>
    <x:row r="101" ht="33" customHeight="1">
      <x:c r="A101" s="2" t="n">
        <x:v>100</x:v>
      </x:c>
      <x:c r="B101" s="5" t="str">
        <x:v>Besan / chickpea flour, dry</x:v>
      </x:c>
      <x:c r="C101" s="3" t="n">
        <x:v>22.39</x:v>
      </x:c>
      <x:c r="D101" s="3" t="n">
        <x:v>57.82</x:v>
      </x:c>
      <x:c r="E101" s="3" t="n">
        <x:v>6.69</x:v>
      </x:c>
      <x:c r="F101" s="4" t="n">
        <x:v>387</x:v>
      </x:c>
      <x:c r="G101" s="5" t="str">
        <x:v>1 cup</x:v>
      </x:c>
      <x:c r="H101" s="4" t="n">
        <x:v>92</x:v>
      </x:c>
      <x:c r="I101" s="5"/>
      <x:c r="J101" s="4"/>
      <x:c r="K101" s="5"/>
      <x:c r="L101" s="4"/>
    </x:row>
  </x:sheetData>
  <x:pageMargins left="0.7" right="0.7" top="0.75" bottom="0.75" header="0.3" footer="0.3"/>
  <x:tableParts count="1">
    <x:tablePart xmlns:r="http://schemas.openxmlformats.org/officeDocument/2006/relationships" r:id="Rc7ca76e98c83481d"/>
  </x:tableParts>
</x:worksheet>
</file>

<file path=xl/worksheets/sheet2.xml><?xml version="1.0" encoding="utf-8"?>
<x:worksheet xmlns:x="http://schemas.openxmlformats.org/spreadsheetml/2006/main">
  <x:sheetPr>
    <x:tabColor rgb="FF76512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6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  <x:col min="9" max="9" width="36" hidden="0" customWidth="1"/>
    <x:col min="11" max="11" width="36" hidden="0" customWidth="1"/>
    <x:col min="8" max="8" width="11" hidden="0" customWidth="1"/>
    <x:col min="10" max="10" width="11" hidden="0" customWidth="1"/>
    <x:col min="12" max="12" width="11" hidden="0" customWidth="1"/>
  </x:cols>
  <x:sheetData>
    <x:row r="1" ht="48" customHeight="1">
      <x:c r="A1" s="21" t="str">
        <x:v>slno.</x:v>
      </x:c>
      <x:c r="B1" s="21" t="str">
        <x:v>food</x:v>
      </x:c>
      <x:c r="C1" s="21" t="str">
        <x:v>protein_per_100</x:v>
      </x:c>
      <x:c r="D1" s="21" t="str">
        <x:v>carbs_per_100</x:v>
      </x:c>
      <x:c r="E1" s="21" t="str">
        <x:v>fats_per_100</x:v>
      </x:c>
      <x:c r="F1" s="21" t="str">
        <x:v>calories_per_100</x:v>
      </x:c>
      <x:c r="G1" s="21" t="str">
        <x:v>common_measured_unit1</x:v>
      </x:c>
      <x:c r="H1" s="21" t="str">
        <x:v>weight1</x:v>
      </x:c>
      <x:c r="I1" s="21" t="str">
        <x:v>common_measured_unit2</x:v>
      </x:c>
      <x:c r="J1" s="21" t="str">
        <x:v>weight2</x:v>
      </x:c>
      <x:c r="K1" s="21" t="str">
        <x:v>common_measured_unit3</x:v>
      </x:c>
      <x:c r="L1" s="21" t="str">
        <x:v>weight3</x:v>
      </x:c>
    </x:row>
    <x:row r="2" ht="33" customHeight="1">
      <x:c r="A2" s="14" t="n">
        <x:v>1</x:v>
      </x:c>
      <x:c r="B2" s="15" t="str">
        <x:v>Almonds / badam, raw kernels</x:v>
      </x:c>
      <x:c r="C2" s="16" t="n">
        <x:v>18.41</x:v>
      </x:c>
      <x:c r="D2" s="16" t="n">
        <x:f>ROUND('Sources and Notes'!H116+'Sources and Notes'!J116,2)</x:f>
        <x:v>16.1</x:v>
      </x:c>
      <x:c r="E2" s="16" t="n">
        <x:v>58.49</x:v>
      </x:c>
      <x:c r="F2" s="17" t="n">
        <x:f>ROUND('Sources and Notes'!K116/4.184,1)</x:f>
        <x:v>609.2</x:v>
      </x:c>
      <x:c r="G2" s="15"/>
      <x:c r="H2" s="17"/>
      <x:c r="I2" s="15"/>
      <x:c r="J2" s="17"/>
      <x:c r="K2" s="15"/>
      <x:c r="L2" s="17"/>
    </x:row>
    <x:row r="3" ht="33" customHeight="1">
      <x:c r="A3" s="2" t="n">
        <x:v>2</x:v>
      </x:c>
      <x:c r="B3" s="5" t="str">
        <x:v>Cashews / kaju, raw kernels</x:v>
      </x:c>
      <x:c r="C3" s="3" t="n">
        <x:v>18.78</x:v>
      </x:c>
      <x:c r="D3" s="3" t="n">
        <x:f>ROUND('Sources and Notes'!H117+'Sources and Notes'!J117,2)</x:f>
        <x:v>29.32</x:v>
      </x:c>
      <x:c r="E3" s="3" t="n">
        <x:v>45.2</x:v>
      </x:c>
      <x:c r="F3" s="4" t="n">
        <x:f>ROUND('Sources and Notes'!K117/4.184,1)</x:f>
        <x:v>582.7</x:v>
      </x:c>
      <x:c r="G3" s="5"/>
      <x:c r="H3" s="4"/>
      <x:c r="I3" s="5"/>
      <x:c r="J3" s="4"/>
      <x:c r="K3" s="5"/>
      <x:c r="L3" s="4"/>
    </x:row>
    <x:row r="4" ht="33" customHeight="1">
      <x:c r="A4" s="14" t="n">
        <x:v>3</x:v>
      </x:c>
      <x:c r="B4" s="15" t="str">
        <x:v>Dry coconut / copra, kernel</x:v>
      </x:c>
      <x:c r="C4" s="16" t="n">
        <x:v>7.27</x:v>
      </x:c>
      <x:c r="D4" s="16" t="n">
        <x:f>ROUND('Sources and Notes'!H118+'Sources and Notes'!J118,2)</x:f>
        <x:v>23.89</x:v>
      </x:c>
      <x:c r="E4" s="16" t="n">
        <x:v>63.26</x:v>
      </x:c>
      <x:c r="F4" s="17" t="n">
        <x:f>ROUND('Sources and Notes'!K118/4.184,1)</x:f>
        <x:v>624</x:v>
      </x:c>
      <x:c r="G4" s="15"/>
      <x:c r="H4" s="17"/>
      <x:c r="I4" s="15"/>
      <x:c r="J4" s="17"/>
      <x:c r="K4" s="15"/>
      <x:c r="L4" s="17"/>
    </x:row>
    <x:row r="5" ht="33" customHeight="1">
      <x:c r="A5" s="2" t="n">
        <x:v>4</x:v>
      </x:c>
      <x:c r="B5" s="5" t="str">
        <x:v>Fresh mature coconut, kernel</x:v>
      </x:c>
      <x:c r="C5" s="3" t="n">
        <x:v>3.84</x:v>
      </x:c>
      <x:c r="D5" s="3" t="n">
        <x:f>ROUND('Sources and Notes'!H119+'Sources and Notes'!J119,2)</x:f>
        <x:v>16.72</x:v>
      </x:c>
      <x:c r="E5" s="3" t="n">
        <x:v>41.38</x:v>
      </x:c>
      <x:c r="F5" s="4" t="n">
        <x:f>ROUND('Sources and Notes'!K119/4.184,1)</x:f>
        <x:v>408.9</x:v>
      </x:c>
      <x:c r="G5" s="5"/>
      <x:c r="H5" s="4"/>
      <x:c r="I5" s="5"/>
      <x:c r="J5" s="4"/>
      <x:c r="K5" s="5"/>
      <x:c r="L5" s="4"/>
    </x:row>
    <x:row r="6" ht="33" customHeight="1">
      <x:c r="A6" s="14" t="n">
        <x:v>5</x:v>
      </x:c>
      <x:c r="B6" s="15" t="str">
        <x:v>Garden cress / halim seeds, dry</x:v>
      </x:c>
      <x:c r="C6" s="16" t="n">
        <x:v>23.36</x:v>
      </x:c>
      <x:c r="D6" s="16" t="n">
        <x:f>ROUND('Sources and Notes'!H120+'Sources and Notes'!J120,2)</x:f>
        <x:v>41.93</x:v>
      </x:c>
      <x:c r="E6" s="16" t="n">
        <x:v>23.74</x:v>
      </x:c>
      <x:c r="F6" s="17" t="n">
        <x:f>ROUND('Sources and Notes'!K120/4.184,1)</x:f>
        <x:v>445.3</x:v>
      </x:c>
      <x:c r="G6" s="15"/>
      <x:c r="H6" s="17"/>
      <x:c r="I6" s="15"/>
      <x:c r="J6" s="17"/>
      <x:c r="K6" s="15"/>
      <x:c r="L6" s="17"/>
    </x:row>
    <x:row r="7" ht="33" customHeight="1">
      <x:c r="A7" s="2" t="n">
        <x:v>6</x:v>
      </x:c>
      <x:c r="B7" s="5" t="str">
        <x:v>Black sesame / kala til, dry</x:v>
      </x:c>
      <x:c r="C7" s="3" t="n">
        <x:v>19.17</x:v>
      </x:c>
      <x:c r="D7" s="3" t="n">
        <x:f>ROUND('Sources and Notes'!H121+'Sources and Notes'!J121,2)</x:f>
        <x:v>27.45</x:v>
      </x:c>
      <x:c r="E7" s="3" t="n">
        <x:v>43.1</x:v>
      </x:c>
      <x:c r="F7" s="4" t="n">
        <x:f>ROUND('Sources and Notes'!K121/4.184,1)</x:f>
        <x:v>507.6</x:v>
      </x:c>
      <x:c r="G7" s="5"/>
      <x:c r="H7" s="4"/>
      <x:c r="I7" s="5"/>
      <x:c r="J7" s="4"/>
      <x:c r="K7" s="5"/>
      <x:c r="L7" s="4"/>
    </x:row>
    <x:row r="8" ht="33" customHeight="1">
      <x:c r="A8" s="14" t="n">
        <x:v>7</x:v>
      </x:c>
      <x:c r="B8" s="15" t="str">
        <x:v>Brown sesame / til, dry</x:v>
      </x:c>
      <x:c r="C8" s="16" t="n">
        <x:v>21.61</x:v>
      </x:c>
      <x:c r="D8" s="16" t="n">
        <x:f>ROUND('Sources and Notes'!H122+'Sources and Notes'!J122,2)</x:f>
        <x:v>26.97</x:v>
      </x:c>
      <x:c r="E8" s="16" t="n">
        <x:v>43.22</x:v>
      </x:c>
      <x:c r="F8" s="17" t="n">
        <x:f>ROUND('Sources and Notes'!K122/4.184,1)</x:f>
        <x:v>516.5</x:v>
      </x:c>
      <x:c r="G8" s="15"/>
      <x:c r="H8" s="17"/>
      <x:c r="I8" s="15"/>
      <x:c r="J8" s="17"/>
      <x:c r="K8" s="15"/>
      <x:c r="L8" s="17"/>
    </x:row>
    <x:row r="9" ht="33" customHeight="1">
      <x:c r="A9" s="2" t="n">
        <x:v>8</x:v>
      </x:c>
      <x:c r="B9" s="5" t="str">
        <x:v>White sesame / safed til, dry</x:v>
      </x:c>
      <x:c r="C9" s="3" t="n">
        <x:v>21.7</x:v>
      </x:c>
      <x:c r="D9" s="3" t="n">
        <x:f>ROUND('Sources and Notes'!H123+'Sources and Notes'!J123,2)</x:f>
        <x:v>27.82</x:v>
      </x:c>
      <x:c r="E9" s="3" t="n">
        <x:v>43.05</x:v>
      </x:c>
      <x:c r="F9" s="4" t="n">
        <x:f>ROUND('Sources and Notes'!K123/4.184,1)</x:f>
        <x:v>519.6</x:v>
      </x:c>
      <x:c r="G9" s="5"/>
      <x:c r="H9" s="4"/>
      <x:c r="I9" s="5"/>
      <x:c r="J9" s="4"/>
      <x:c r="K9" s="5"/>
      <x:c r="L9" s="4"/>
    </x:row>
    <x:row r="10" ht="33" customHeight="1">
      <x:c r="A10" s="14" t="n">
        <x:v>9</x:v>
      </x:c>
      <x:c r="B10" s="15" t="str">
        <x:v>Peanuts / groundnuts, raw kernels</x:v>
      </x:c>
      <x:c r="C10" s="16" t="n">
        <x:v>23.65</x:v>
      </x:c>
      <x:c r="D10" s="16" t="n">
        <x:f>ROUND('Sources and Notes'!H124+'Sources and Notes'!J124,2)</x:f>
        <x:v>27.65</x:v>
      </x:c>
      <x:c r="E10" s="16" t="n">
        <x:v>39.63</x:v>
      </x:c>
      <x:c r="F10" s="17" t="n">
        <x:f>ROUND('Sources and Notes'!K124/4.184,1)</x:f>
        <x:v>520.1</x:v>
      </x:c>
      <x:c r="G10" s="15"/>
      <x:c r="H10" s="17"/>
      <x:c r="I10" s="15"/>
      <x:c r="J10" s="17"/>
      <x:c r="K10" s="15"/>
      <x:c r="L10" s="17"/>
    </x:row>
    <x:row r="11" ht="33" customHeight="1">
      <x:c r="A11" s="2" t="n">
        <x:v>10</x:v>
      </x:c>
      <x:c r="B11" s="5" t="str">
        <x:v>Mustard / sarson seeds, dry</x:v>
      </x:c>
      <x:c r="C11" s="3" t="n">
        <x:v>19.51</x:v>
      </x:c>
      <x:c r="D11" s="3" t="n">
        <x:f>ROUND('Sources and Notes'!H125+'Sources and Notes'!J125,2)</x:f>
        <x:v>30.9</x:v>
      </x:c>
      <x:c r="E11" s="3" t="n">
        <x:v>40.19</x:v>
      </x:c>
      <x:c r="F11" s="4" t="n">
        <x:f>ROUND('Sources and Notes'!K125/4.184,1)</x:f>
        <x:v>509.6</x:v>
      </x:c>
      <x:c r="G11" s="5"/>
      <x:c r="H11" s="4"/>
      <x:c r="I11" s="5"/>
      <x:c r="J11" s="4"/>
      <x:c r="K11" s="5"/>
      <x:c r="L11" s="4"/>
    </x:row>
    <x:row r="12" ht="33" customHeight="1">
      <x:c r="A12" s="14" t="n">
        <x:v>11</x:v>
      </x:c>
      <x:c r="B12" s="15" t="str">
        <x:v>Flax seeds / alsi, dry</x:v>
      </x:c>
      <x:c r="C12" s="16" t="n">
        <x:v>18.55</x:v>
      </x:c>
      <x:c r="D12" s="16" t="n">
        <x:f>ROUND('Sources and Notes'!H126+'Sources and Notes'!J126,2)</x:f>
        <x:v>37.16</x:v>
      </x:c>
      <x:c r="E12" s="16" t="n">
        <x:v>35.67</x:v>
      </x:c>
      <x:c r="F12" s="17" t="n">
        <x:f>ROUND('Sources and Notes'!K126/4.184,1)</x:f>
        <x:v>443.8</x:v>
      </x:c>
      <x:c r="G12" s="15"/>
      <x:c r="H12" s="17"/>
      <x:c r="I12" s="15"/>
      <x:c r="J12" s="17"/>
      <x:c r="K12" s="15"/>
      <x:c r="L12" s="17"/>
    </x:row>
    <x:row r="13" ht="33" customHeight="1">
      <x:c r="A13" s="2" t="n">
        <x:v>12</x:v>
      </x:c>
      <x:c r="B13" s="5" t="str">
        <x:v>Niger / ramtil seeds, black, dry</x:v>
      </x:c>
      <x:c r="C13" s="3" t="n">
        <x:v>18.92</x:v>
      </x:c>
      <x:c r="D13" s="3" t="n">
        <x:f>ROUND('Sources and Notes'!H127+'Sources and Notes'!J127,2)</x:f>
        <x:v>33.91</x:v>
      </x:c>
      <x:c r="E13" s="3" t="n">
        <x:v>38.61</x:v>
      </x:c>
      <x:c r="F13" s="4" t="n">
        <x:f>ROUND('Sources and Notes'!K127/4.184,1)</x:f>
        <x:v>512.4</x:v>
      </x:c>
      <x:c r="G13" s="5"/>
      <x:c r="H13" s="4"/>
      <x:c r="I13" s="5"/>
      <x:c r="J13" s="4"/>
      <x:c r="K13" s="5"/>
      <x:c r="L13" s="4"/>
    </x:row>
    <x:row r="14" ht="33" customHeight="1">
      <x:c r="A14" s="14" t="n">
        <x:v>13</x:v>
      </x:c>
      <x:c r="B14" s="15" t="str">
        <x:v>Pine nut / chilgoza kernels</x:v>
      </x:c>
      <x:c r="C14" s="16" t="n">
        <x:v>12.55</x:v>
      </x:c>
      <x:c r="D14" s="16" t="n">
        <x:f>ROUND('Sources and Notes'!H128+'Sources and Notes'!J128,2)</x:f>
        <x:v>30.56</x:v>
      </x:c>
      <x:c r="E14" s="16" t="n">
        <x:v>48.79</x:v>
      </x:c>
      <x:c r="F14" s="17" t="n">
        <x:f>ROUND('Sources and Notes'!K128/4.184,1)</x:f>
        <x:v>594.2</x:v>
      </x:c>
      <x:c r="G14" s="15"/>
      <x:c r="H14" s="17"/>
      <x:c r="I14" s="15"/>
      <x:c r="J14" s="17"/>
      <x:c r="K14" s="15"/>
      <x:c r="L14" s="17"/>
    </x:row>
    <x:row r="15" ht="33" customHeight="1">
      <x:c r="A15" s="2" t="n">
        <x:v>14</x:v>
      </x:c>
      <x:c r="B15" s="5" t="str">
        <x:v>Pistachios / pista, raw kernels</x:v>
      </x:c>
      <x:c r="C15" s="3" t="n">
        <x:v>23.35</x:v>
      </x:c>
      <x:c r="D15" s="3" t="n">
        <x:f>ROUND('Sources and Notes'!H129+'Sources and Notes'!J129,2)</x:f>
        <x:v>26.46</x:v>
      </x:c>
      <x:c r="E15" s="3" t="n">
        <x:v>42.49</x:v>
      </x:c>
      <x:c r="F15" s="4" t="n">
        <x:f>ROUND('Sources and Notes'!K129/4.184,1)</x:f>
        <x:v>539.4</x:v>
      </x:c>
      <x:c r="G15" s="5"/>
      <x:c r="H15" s="4"/>
      <x:c r="I15" s="5"/>
      <x:c r="J15" s="4"/>
      <x:c r="K15" s="5"/>
      <x:c r="L15" s="4"/>
    </x:row>
    <x:row r="16" ht="33" customHeight="1">
      <x:c r="A16" s="14" t="n">
        <x:v>15</x:v>
      </x:c>
      <x:c r="B16" s="15" t="str">
        <x:v>Safflower / kardi seeds, dry</x:v>
      </x:c>
      <x:c r="C16" s="16" t="n">
        <x:v>17.66</x:v>
      </x:c>
      <x:c r="D16" s="16" t="n">
        <x:f>ROUND('Sources and Notes'!H130+'Sources and Notes'!J130,2)</x:f>
        <x:v>43.67</x:v>
      </x:c>
      <x:c r="E16" s="16" t="n">
        <x:v>30.87</x:v>
      </x:c>
      <x:c r="F16" s="17" t="n">
        <x:f>ROUND('Sources and Notes'!K130/4.184,1)</x:f>
        <x:v>473.5</x:v>
      </x:c>
      <x:c r="G16" s="15"/>
      <x:c r="H16" s="17"/>
      <x:c r="I16" s="15"/>
      <x:c r="J16" s="17"/>
      <x:c r="K16" s="15"/>
      <x:c r="L16" s="17"/>
    </x:row>
    <x:row r="17" ht="33" customHeight="1">
      <x:c r="A17" s="2" t="n">
        <x:v>16</x:v>
      </x:c>
      <x:c r="B17" s="5" t="str">
        <x:v>Sunflower seeds, dry kernels</x:v>
      </x:c>
      <x:c r="C17" s="3" t="n">
        <x:v>23.53</x:v>
      </x:c>
      <x:c r="D17" s="3" t="n">
        <x:f>ROUND('Sources and Notes'!H131+'Sources and Notes'!J131,2)</x:f>
        <x:v>17.65</x:v>
      </x:c>
      <x:c r="E17" s="3" t="n">
        <x:v>51.85</x:v>
      </x:c>
      <x:c r="F17" s="4" t="n">
        <x:f>ROUND('Sources and Notes'!K131/4.184,1)</x:f>
        <x:v>586.3</x:v>
      </x:c>
      <x:c r="G17" s="5"/>
      <x:c r="H17" s="4"/>
      <x:c r="I17" s="5"/>
      <x:c r="J17" s="4"/>
      <x:c r="K17" s="5"/>
      <x:c r="L17" s="4"/>
    </x:row>
    <x:row r="18" ht="33" customHeight="1">
      <x:c r="A18" s="14" t="n">
        <x:v>17</x:v>
      </x:c>
      <x:c r="B18" s="15" t="str">
        <x:v>Walnuts / akhrot, raw kernels</x:v>
      </x:c>
      <x:c r="C18" s="16" t="n">
        <x:v>14.92</x:v>
      </x:c>
      <x:c r="D18" s="16" t="n">
        <x:f>ROUND('Sources and Notes'!H132+'Sources and Notes'!J132,2)</x:f>
        <x:v>15.53</x:v>
      </x:c>
      <x:c r="E18" s="16" t="n">
        <x:v>64.27</x:v>
      </x:c>
      <x:c r="F18" s="17" t="n">
        <x:f>ROUND('Sources and Notes'!K132/4.184,1)</x:f>
        <x:v>671.4</x:v>
      </x:c>
      <x:c r="G18" s="15"/>
      <x:c r="H18" s="17"/>
      <x:c r="I18" s="15"/>
      <x:c r="J18" s="17"/>
      <x:c r="K18" s="15"/>
      <x:c r="L18" s="17"/>
    </x:row>
    <x:row r="19" ht="33" customHeight="1">
      <x:c r="A19" s="2" t="n">
        <x:v>18</x:v>
      </x:c>
      <x:c r="B19" s="5" t="str">
        <x:v>Poppy seeds / khus khus, dry</x:v>
      </x:c>
      <x:c r="C19" s="3" t="n">
        <x:v>20.31</x:v>
      </x:c>
      <x:c r="D19" s="3" t="n">
        <x:f>ROUND('Sources and Notes'!H133+'Sources and Notes'!J133,2)</x:f>
        <x:v>39.05</x:v>
      </x:c>
      <x:c r="E19" s="3" t="n">
        <x:v>30.38</x:v>
      </x:c>
      <x:c r="F19" s="4" t="n">
        <x:f>ROUND('Sources and Notes'!K133/4.184,1)</x:f>
        <x:v>422.6</x:v>
      </x:c>
      <x:c r="G19" s="5"/>
      <x:c r="H19" s="4"/>
      <x:c r="I19" s="5"/>
      <x:c r="J19" s="4"/>
      <x:c r="K19" s="5"/>
      <x:c r="L19" s="4"/>
    </x:row>
    <x:row r="20" ht="33" customHeight="1">
      <x:c r="A20" s="14" t="n">
        <x:v>19</x:v>
      </x:c>
      <x:c r="B20" s="15" t="str">
        <x:v>Avocado, raw, edible flesh</x:v>
      </x:c>
      <x:c r="C20" s="16" t="n">
        <x:v>2.95</x:v>
      </x:c>
      <x:c r="D20" s="16" t="n">
        <x:f>ROUND('Sources and Notes'!H134+'Sources and Notes'!J134,2)</x:f>
        <x:v>8.44</x:v>
      </x:c>
      <x:c r="E20" s="16" t="n">
        <x:v>13.86</x:v>
      </x:c>
      <x:c r="F20" s="17" t="n">
        <x:f>ROUND('Sources and Notes'!K134/4.184,1)</x:f>
        <x:v>144.4</x:v>
      </x:c>
      <x:c r="G20" s="15"/>
      <x:c r="H20" s="17"/>
      <x:c r="I20" s="15"/>
      <x:c r="J20" s="17"/>
      <x:c r="K20" s="15"/>
      <x:c r="L20" s="17"/>
    </x:row>
    <x:row r="21" ht="33" customHeight="1">
      <x:c r="A21" s="2" t="n">
        <x:v>20</x:v>
      </x:c>
      <x:c r="B21" s="5" t="str">
        <x:v>Paneer, plain</x:v>
      </x:c>
      <x:c r="C21" s="3" t="n">
        <x:v>18.86</x:v>
      </x:c>
      <x:c r="D21" s="3" t="n">
        <x:f>ROUND('Sources and Notes'!H135+'Sources and Notes'!J135,2)</x:f>
        <x:v>2.41</x:v>
      </x:c>
      <x:c r="E21" s="3" t="n">
        <x:v>24.78</x:v>
      </x:c>
      <x:c r="F21" s="4" t="n">
        <x:f>ROUND('Sources and Notes'!K135/4.184,1)</x:f>
        <x:v>305.4</x:v>
      </x:c>
      <x:c r="G21" s="5"/>
      <x:c r="H21" s="4"/>
      <x:c r="I21" s="5"/>
      <x:c r="J21" s="4"/>
      <x:c r="K21" s="5"/>
      <x:c r="L21" s="4"/>
    </x:row>
    <x:row r="22" ht="33" customHeight="1">
      <x:c r="A22" s="14" t="n">
        <x:v>21</x:v>
      </x:c>
      <x:c r="B22" s="15" t="str">
        <x:v>Khoya / khoa, unsweetened</x:v>
      </x:c>
      <x:c r="C22" s="16" t="n">
        <x:v>16.34</x:v>
      </x:c>
      <x:c r="D22" s="16" t="n">
        <x:f>ROUND('Sources and Notes'!H136+'Sources and Notes'!J136,2)</x:f>
        <x:v>16.53</x:v>
      </x:c>
      <x:c r="E22" s="16" t="n">
        <x:v>20.62</x:v>
      </x:c>
      <x:c r="F22" s="17" t="n">
        <x:f>ROUND('Sources and Notes'!K136/4.184,1)</x:f>
        <x:v>316</x:v>
      </x:c>
      <x:c r="G22" s="15"/>
      <x:c r="H22" s="17"/>
      <x:c r="I22" s="15"/>
      <x:c r="J22" s="17"/>
      <x:c r="K22" s="15"/>
      <x:c r="L22" s="17"/>
    </x:row>
    <x:row r="23" ht="33" customHeight="1">
      <x:c r="A23" s="2" t="n">
        <x:v>22</x:v>
      </x:c>
      <x:c r="B23" s="5" t="str">
        <x:v>Buffalo milk, whole</x:v>
      </x:c>
      <x:c r="C23" s="3" t="n">
        <x:v>3.68</x:v>
      </x:c>
      <x:c r="D23" s="3" t="n">
        <x:f>ROUND('Sources and Notes'!H137+'Sources and Notes'!J137,2)</x:f>
        <x:v>8.39</x:v>
      </x:c>
      <x:c r="E23" s="3" t="n">
        <x:v>6.58</x:v>
      </x:c>
      <x:c r="F23" s="4" t="n">
        <x:f>ROUND('Sources and Notes'!K137/4.184,1)</x:f>
        <x:v>107.3</x:v>
      </x:c>
      <x:c r="G23" s="5"/>
      <x:c r="H23" s="4"/>
      <x:c r="I23" s="5"/>
      <x:c r="J23" s="4"/>
      <x:c r="K23" s="5"/>
      <x:c r="L23" s="4"/>
    </x:row>
    <x:row r="24" ht="33" customHeight="1">
      <x:c r="A24" s="14" t="n">
        <x:v>23</x:v>
      </x:c>
      <x:c r="B24" s="15" t="str">
        <x:v>Cow milk, whole</x:v>
      </x:c>
      <x:c r="C24" s="16" t="n">
        <x:v>3.26</x:v>
      </x:c>
      <x:c r="D24" s="16" t="n">
        <x:f>ROUND('Sources and Notes'!H138+'Sources and Notes'!J138,2)</x:f>
        <x:v>4.94</x:v>
      </x:c>
      <x:c r="E24" s="16" t="n">
        <x:v>4.48</x:v>
      </x:c>
      <x:c r="F24" s="17" t="n">
        <x:f>ROUND('Sources and Notes'!K138/4.184,1)</x:f>
        <x:v>72.9</x:v>
      </x:c>
      <x:c r="G24" s="15"/>
      <x:c r="H24" s="17"/>
      <x:c r="I24" s="15"/>
      <x:c r="J24" s="17"/>
      <x:c r="K24" s="15"/>
      <x:c r="L24" s="17"/>
    </x:row>
    <x:row r="25" ht="33" customHeight="1">
      <x:c r="A25" s="2" t="n">
        <x:v>24</x:v>
      </x:c>
      <x:c r="B25" s="5" t="str">
        <x:v>Rice bran oil</x:v>
      </x:c>
      <x:c r="C25" s="3" t="n">
        <x:v>0</x:v>
      </x:c>
      <x:c r="D25" s="3" t="n">
        <x:v>0</x:v>
      </x:c>
      <x:c r="E25" s="3" t="n">
        <x:v>100</x:v>
      </x:c>
      <x:c r="F25" s="4" t="n">
        <x:v>884</x:v>
      </x:c>
      <x:c r="G25" s="5" t="str">
        <x:v>1 tsp</x:v>
      </x:c>
      <x:c r="H25" s="4" t="n">
        <x:v>4.5</x:v>
      </x:c>
      <x:c r="I25" s="5" t="str">
        <x:v>1 cup</x:v>
      </x:c>
      <x:c r="J25" s="4" t="n">
        <x:v>218</x:v>
      </x:c>
      <x:c r="K25" s="5" t="str">
        <x:v>1 tablespoon</x:v>
      </x:c>
      <x:c r="L25" s="4" t="n">
        <x:v>13.6</x:v>
      </x:c>
    </x:row>
    <x:row r="26" ht="33" customHeight="1">
      <x:c r="A26" s="14" t="n">
        <x:v>25</x:v>
      </x:c>
      <x:c r="B26" s="15" t="str">
        <x:v>Groundnut / peanut oil</x:v>
      </x:c>
      <x:c r="C26" s="16" t="n">
        <x:v>0</x:v>
      </x:c>
      <x:c r="D26" s="16" t="n">
        <x:v>0</x:v>
      </x:c>
      <x:c r="E26" s="16" t="n">
        <x:v>100</x:v>
      </x:c>
      <x:c r="F26" s="17" t="n">
        <x:v>884</x:v>
      </x:c>
      <x:c r="G26" s="15" t="str">
        <x:v>1 tbsp</x:v>
      </x:c>
      <x:c r="H26" s="17" t="n">
        <x:v>13.5</x:v>
      </x:c>
      <x:c r="I26" s="15" t="str">
        <x:v>1 tsp</x:v>
      </x:c>
      <x:c r="J26" s="17" t="n">
        <x:v>4.5</x:v>
      </x:c>
      <x:c r="K26" s="15" t="str">
        <x:v>1 cup</x:v>
      </x:c>
      <x:c r="L26" s="17" t="n">
        <x:v>216</x:v>
      </x:c>
    </x:row>
    <x:row r="27" ht="33" customHeight="1">
      <x:c r="A27" s="2" t="n">
        <x:v>26</x:v>
      </x:c>
      <x:c r="B27" s="5" t="str">
        <x:v>Soybean oil</x:v>
      </x:c>
      <x:c r="C27" s="3" t="n">
        <x:v>0</x:v>
      </x:c>
      <x:c r="D27" s="3" t="n">
        <x:v>0</x:v>
      </x:c>
      <x:c r="E27" s="3" t="n">
        <x:v>100</x:v>
      </x:c>
      <x:c r="F27" s="4" t="n">
        <x:v>884</x:v>
      </x:c>
      <x:c r="G27" s="5" t="str">
        <x:v>1 tbsp</x:v>
      </x:c>
      <x:c r="H27" s="4" t="n">
        <x:v>13.6</x:v>
      </x:c>
      <x:c r="I27" s="5" t="str">
        <x:v>1 tsp</x:v>
      </x:c>
      <x:c r="J27" s="4" t="n">
        <x:v>4.5</x:v>
      </x:c>
      <x:c r="K27" s="5" t="str">
        <x:v>1 cup</x:v>
      </x:c>
      <x:c r="L27" s="4" t="n">
        <x:v>218</x:v>
      </x:c>
    </x:row>
    <x:row r="28" ht="33" customHeight="1">
      <x:c r="A28" s="14" t="n">
        <x:v>27</x:v>
      </x:c>
      <x:c r="B28" s="15" t="str">
        <x:v>Coconut oil</x:v>
      </x:c>
      <x:c r="C28" s="16" t="n">
        <x:v>0</x:v>
      </x:c>
      <x:c r="D28" s="16" t="n">
        <x:v>0</x:v>
      </x:c>
      <x:c r="E28" s="16" t="n">
        <x:v>99.06</x:v>
      </x:c>
      <x:c r="F28" s="17" t="n">
        <x:v>892</x:v>
      </x:c>
      <x:c r="G28" s="15" t="str">
        <x:v>1 tbsp</x:v>
      </x:c>
      <x:c r="H28" s="17" t="n">
        <x:v>13.6</x:v>
      </x:c>
      <x:c r="I28" s="15" t="str">
        <x:v>1 tsp</x:v>
      </x:c>
      <x:c r="J28" s="17" t="n">
        <x:v>4.5</x:v>
      </x:c>
      <x:c r="K28" s="15" t="str">
        <x:v>1 cup</x:v>
      </x:c>
      <x:c r="L28" s="17" t="n">
        <x:v>218</x:v>
      </x:c>
    </x:row>
    <x:row r="29" ht="33" customHeight="1">
      <x:c r="A29" s="2" t="n">
        <x:v>28</x:v>
      </x:c>
      <x:c r="B29" s="5" t="str">
        <x:v>Olive oil</x:v>
      </x:c>
      <x:c r="C29" s="3" t="n">
        <x:v>0</x:v>
      </x:c>
      <x:c r="D29" s="3" t="n">
        <x:v>0</x:v>
      </x:c>
      <x:c r="E29" s="3" t="n">
        <x:v>100</x:v>
      </x:c>
      <x:c r="F29" s="4" t="n">
        <x:v>884</x:v>
      </x:c>
      <x:c r="G29" s="5" t="str">
        <x:v>1 tsp</x:v>
      </x:c>
      <x:c r="H29" s="4" t="n">
        <x:v>4.5</x:v>
      </x:c>
      <x:c r="I29" s="5" t="str">
        <x:v>1 cup</x:v>
      </x:c>
      <x:c r="J29" s="4" t="n">
        <x:v>216</x:v>
      </x:c>
      <x:c r="K29" s="5" t="str">
        <x:v>1 tablespoon</x:v>
      </x:c>
      <x:c r="L29" s="4" t="n">
        <x:v>13.5</x:v>
      </x:c>
    </x:row>
    <x:row r="30" ht="33" customHeight="1">
      <x:c r="A30" s="14" t="n">
        <x:v>29</x:v>
      </x:c>
      <x:c r="B30" s="15" t="str">
        <x:v>Palm oil</x:v>
      </x:c>
      <x:c r="C30" s="16" t="n">
        <x:v>0</x:v>
      </x:c>
      <x:c r="D30" s="16" t="n">
        <x:v>0</x:v>
      </x:c>
      <x:c r="E30" s="16" t="n">
        <x:v>100</x:v>
      </x:c>
      <x:c r="F30" s="17" t="n">
        <x:v>884</x:v>
      </x:c>
      <x:c r="G30" s="15" t="str">
        <x:v>1 tbsp</x:v>
      </x:c>
      <x:c r="H30" s="17" t="n">
        <x:v>13.6</x:v>
      </x:c>
      <x:c r="I30" s="15" t="str">
        <x:v>1 tsp</x:v>
      </x:c>
      <x:c r="J30" s="17" t="n">
        <x:v>4.5</x:v>
      </x:c>
      <x:c r="K30" s="15" t="str">
        <x:v>1 cup</x:v>
      </x:c>
      <x:c r="L30" s="17" t="n">
        <x:v>216</x:v>
      </x:c>
    </x:row>
    <x:row r="31" ht="33" customHeight="1">
      <x:c r="A31" s="2" t="n">
        <x:v>30</x:v>
      </x:c>
      <x:c r="B31" s="5" t="str">
        <x:v>Sesame / gingelly oil</x:v>
      </x:c>
      <x:c r="C31" s="3" t="n">
        <x:v>0</x:v>
      </x:c>
      <x:c r="D31" s="3" t="n">
        <x:v>0</x:v>
      </x:c>
      <x:c r="E31" s="3" t="n">
        <x:v>100</x:v>
      </x:c>
      <x:c r="F31" s="4" t="n">
        <x:v>884</x:v>
      </x:c>
      <x:c r="G31" s="5" t="str">
        <x:v>1 tsp</x:v>
      </x:c>
      <x:c r="H31" s="4" t="n">
        <x:v>4.5</x:v>
      </x:c>
      <x:c r="I31" s="5" t="str">
        <x:v>1 cup</x:v>
      </x:c>
      <x:c r="J31" s="4" t="n">
        <x:v>218</x:v>
      </x:c>
      <x:c r="K31" s="5" t="str">
        <x:v>1 tablespoon</x:v>
      </x:c>
      <x:c r="L31" s="4" t="n">
        <x:v>13.6</x:v>
      </x:c>
    </x:row>
    <x:row r="32" ht="33" customHeight="1">
      <x:c r="A32" s="14" t="n">
        <x:v>31</x:v>
      </x:c>
      <x:c r="B32" s="15" t="str">
        <x:v>Cottonseed oil</x:v>
      </x:c>
      <x:c r="C32" s="16" t="n">
        <x:v>0</x:v>
      </x:c>
      <x:c r="D32" s="16" t="n">
        <x:v>0</x:v>
      </x:c>
      <x:c r="E32" s="16" t="n">
        <x:v>100</x:v>
      </x:c>
      <x:c r="F32" s="17" t="n">
        <x:v>884</x:v>
      </x:c>
      <x:c r="G32" s="15" t="str">
        <x:v>1 tsp</x:v>
      </x:c>
      <x:c r="H32" s="17" t="n">
        <x:v>4.5</x:v>
      </x:c>
      <x:c r="I32" s="15" t="str">
        <x:v>1 cup</x:v>
      </x:c>
      <x:c r="J32" s="17" t="n">
        <x:v>218</x:v>
      </x:c>
      <x:c r="K32" s="15" t="str">
        <x:v>1 tablespoon</x:v>
      </x:c>
      <x:c r="L32" s="17" t="n">
        <x:v>13.6</x:v>
      </x:c>
    </x:row>
    <x:row r="33" ht="33" customHeight="1">
      <x:c r="A33" s="2" t="n">
        <x:v>32</x:v>
      </x:c>
      <x:c r="B33" s="5" t="str">
        <x:v>Sunflower oil, linoleic type</x:v>
      </x:c>
      <x:c r="C33" s="3" t="n">
        <x:v>0</x:v>
      </x:c>
      <x:c r="D33" s="3" t="n">
        <x:v>0</x:v>
      </x:c>
      <x:c r="E33" s="3" t="n">
        <x:v>100</x:v>
      </x:c>
      <x:c r="F33" s="4" t="n">
        <x:v>884</x:v>
      </x:c>
      <x:c r="G33" s="5" t="str">
        <x:v>1 tbsp</x:v>
      </x:c>
      <x:c r="H33" s="4" t="n">
        <x:v>13.6</x:v>
      </x:c>
      <x:c r="I33" s="5" t="str">
        <x:v>1 tsp</x:v>
      </x:c>
      <x:c r="J33" s="4" t="n">
        <x:v>4.5</x:v>
      </x:c>
      <x:c r="K33" s="5" t="str">
        <x:v>1 cup</x:v>
      </x:c>
      <x:c r="L33" s="4" t="n">
        <x:v>218</x:v>
      </x:c>
    </x:row>
    <x:row r="34" ht="33" customHeight="1">
      <x:c r="A34" s="14" t="n">
        <x:v>33</x:v>
      </x:c>
      <x:c r="B34" s="15" t="str">
        <x:v>Safflower / kardi oil, linoleic type</x:v>
      </x:c>
      <x:c r="C34" s="16" t="n">
        <x:v>0</x:v>
      </x:c>
      <x:c r="D34" s="16" t="n">
        <x:v>0</x:v>
      </x:c>
      <x:c r="E34" s="16" t="n">
        <x:v>100</x:v>
      </x:c>
      <x:c r="F34" s="17" t="n">
        <x:v>884</x:v>
      </x:c>
      <x:c r="G34" s="15" t="str">
        <x:v>1 tbsp</x:v>
      </x:c>
      <x:c r="H34" s="17" t="n">
        <x:v>13.6</x:v>
      </x:c>
      <x:c r="I34" s="15" t="str">
        <x:v>1 tsp</x:v>
      </x:c>
      <x:c r="J34" s="17" t="n">
        <x:v>4.5</x:v>
      </x:c>
      <x:c r="K34" s="15" t="str">
        <x:v>1 cup</x:v>
      </x:c>
      <x:c r="L34" s="17" t="n">
        <x:v>218</x:v>
      </x:c>
    </x:row>
    <x:row r="35" ht="33" customHeight="1">
      <x:c r="A35" s="2" t="n">
        <x:v>34</x:v>
      </x:c>
      <x:c r="B35" s="5" t="str">
        <x:v>Corn oil</x:v>
      </x:c>
      <x:c r="C35" s="3" t="n">
        <x:v>0</x:v>
      </x:c>
      <x:c r="D35" s="3" t="n">
        <x:v>0</x:v>
      </x:c>
      <x:c r="E35" s="3" t="n">
        <x:v>100</x:v>
      </x:c>
      <x:c r="F35" s="4" t="n">
        <x:v>900</x:v>
      </x:c>
      <x:c r="G35" s="5" t="str">
        <x:v>1 tbsp</x:v>
      </x:c>
      <x:c r="H35" s="4" t="n">
        <x:v>13.6</x:v>
      </x:c>
      <x:c r="I35" s="5" t="str">
        <x:v>1 tsp</x:v>
      </x:c>
      <x:c r="J35" s="4" t="n">
        <x:v>4.5</x:v>
      </x:c>
      <x:c r="K35" s="5" t="str">
        <x:v>1 cup</x:v>
      </x:c>
      <x:c r="L35" s="4" t="n">
        <x:v>218</x:v>
      </x:c>
    </x:row>
    <x:row r="36" ht="33" customHeight="1">
      <x:c r="A36" s="14" t="n">
        <x:v>35</x:v>
      </x:c>
      <x:c r="B36" s="15" t="str">
        <x:v>Canola oil</x:v>
      </x:c>
      <x:c r="C36" s="16" t="n">
        <x:v>0</x:v>
      </x:c>
      <x:c r="D36" s="16" t="n">
        <x:v>0</x:v>
      </x:c>
      <x:c r="E36" s="16" t="n">
        <x:v>100</x:v>
      </x:c>
      <x:c r="F36" s="17" t="n">
        <x:v>884</x:v>
      </x:c>
      <x:c r="G36" s="15" t="str">
        <x:v>1 tbsp</x:v>
      </x:c>
      <x:c r="H36" s="17" t="n">
        <x:v>14</x:v>
      </x:c>
      <x:c r="I36" s="15" t="str">
        <x:v>1 tsp</x:v>
      </x:c>
      <x:c r="J36" s="17" t="n">
        <x:v>4.5</x:v>
      </x:c>
      <x:c r="K36" s="15" t="str">
        <x:v>1 cup</x:v>
      </x:c>
      <x:c r="L36" s="17" t="n">
        <x:v>218</x:v>
      </x:c>
    </x:row>
    <x:row r="37" ht="33" customHeight="1">
      <x:c r="A37" s="2" t="n">
        <x:v>36</x:v>
      </x:c>
      <x:c r="B37" s="5" t="str">
        <x:v>Mustard oil</x:v>
      </x:c>
      <x:c r="C37" s="3" t="n">
        <x:v>0</x:v>
      </x:c>
      <x:c r="D37" s="3" t="n">
        <x:v>0</x:v>
      </x:c>
      <x:c r="E37" s="3" t="n">
        <x:v>100</x:v>
      </x:c>
      <x:c r="F37" s="4" t="n">
        <x:v>884</x:v>
      </x:c>
      <x:c r="G37" s="5" t="str">
        <x:v>1 tbsp</x:v>
      </x:c>
      <x:c r="H37" s="4" t="n">
        <x:v>14</x:v>
      </x:c>
      <x:c r="I37" s="5" t="str">
        <x:v>1 tsp</x:v>
      </x:c>
      <x:c r="J37" s="4" t="n">
        <x:v>4.5</x:v>
      </x:c>
      <x:c r="K37" s="5" t="str">
        <x:v>1 cup</x:v>
      </x:c>
      <x:c r="L37" s="4" t="n">
        <x:v>218</x:v>
      </x:c>
    </x:row>
    <x:row r="38" ht="33" customHeight="1">
      <x:c r="A38" s="14" t="n">
        <x:v>37</x:v>
      </x:c>
      <x:c r="B38" s="15" t="str">
        <x:v>Flaxseed / alsi oil, cold-pressed</x:v>
      </x:c>
      <x:c r="C38" s="16" t="n">
        <x:v>0.11</x:v>
      </x:c>
      <x:c r="D38" s="16" t="n">
        <x:v>0</x:v>
      </x:c>
      <x:c r="E38" s="16" t="n">
        <x:v>99.98</x:v>
      </x:c>
      <x:c r="F38" s="17" t="n">
        <x:v>884</x:v>
      </x:c>
      <x:c r="G38" s="15" t="str">
        <x:v>1 tbsp</x:v>
      </x:c>
      <x:c r="H38" s="17" t="n">
        <x:v>13.6</x:v>
      </x:c>
      <x:c r="I38" s="15" t="str">
        <x:v>1 cup</x:v>
      </x:c>
      <x:c r="J38" s="17" t="n">
        <x:v>218</x:v>
      </x:c>
      <x:c r="K38" s="15"/>
      <x:c r="L38" s="17"/>
    </x:row>
    <x:row r="39" ht="33" customHeight="1">
      <x:c r="A39" s="2" t="n">
        <x:v>38</x:v>
      </x:c>
      <x:c r="B39" s="5" t="str">
        <x:v>Butter, salted</x:v>
      </x:c>
      <x:c r="C39" s="3" t="n">
        <x:v>0.85</x:v>
      </x:c>
      <x:c r="D39" s="3" t="n">
        <x:v>0.06</x:v>
      </x:c>
      <x:c r="E39" s="3" t="n">
        <x:v>81.11</x:v>
      </x:c>
      <x:c r="F39" s="4" t="n">
        <x:v>717</x:v>
      </x:c>
      <x:c r="G39" s="5" t="str">
        <x:v>1 tbsp</x:v>
      </x:c>
      <x:c r="H39" s="4" t="n">
        <x:v>14.2</x:v>
      </x:c>
      <x:c r="I39" s="5" t="str">
        <x:v>1 cup</x:v>
      </x:c>
      <x:c r="J39" s="4" t="n">
        <x:v>227</x:v>
      </x:c>
      <x:c r="K39" s="5" t="str">
        <x:v>1 pat (1" sq, 1/3" high)</x:v>
      </x:c>
      <x:c r="L39" s="4" t="n">
        <x:v>5</x:v>
      </x:c>
    </x:row>
    <x:row r="40" ht="33" customHeight="1">
      <x:c r="A40" s="14" t="n">
        <x:v>39</x:v>
      </x:c>
      <x:c r="B40" s="15" t="str">
        <x:v>Butter, unsalted</x:v>
      </x:c>
      <x:c r="C40" s="16" t="n">
        <x:v>0.85</x:v>
      </x:c>
      <x:c r="D40" s="16" t="n">
        <x:v>0.06</x:v>
      </x:c>
      <x:c r="E40" s="16" t="n">
        <x:v>81.11</x:v>
      </x:c>
      <x:c r="F40" s="17" t="n">
        <x:v>717</x:v>
      </x:c>
      <x:c r="G40" s="15" t="str">
        <x:v>1 tbsp</x:v>
      </x:c>
      <x:c r="H40" s="17" t="n">
        <x:v>14.2</x:v>
      </x:c>
      <x:c r="I40" s="15" t="str">
        <x:v>1 cup</x:v>
      </x:c>
      <x:c r="J40" s="17" t="n">
        <x:v>227</x:v>
      </x:c>
      <x:c r="K40" s="15" t="str">
        <x:v>1 pat (1" sq, 1/3" high)</x:v>
      </x:c>
      <x:c r="L40" s="17" t="n">
        <x:v>5</x:v>
      </x:c>
    </x:row>
    <x:row r="41" ht="33" customHeight="1">
      <x:c r="A41" s="2" t="n">
        <x:v>40</x:v>
      </x:c>
      <x:c r="B41" s="5" t="str">
        <x:v>Ghee reference: anhydrous butter oil</x:v>
      </x:c>
      <x:c r="C41" s="3" t="n">
        <x:v>0.28</x:v>
      </x:c>
      <x:c r="D41" s="3" t="n">
        <x:v>0</x:v>
      </x:c>
      <x:c r="E41" s="3" t="n">
        <x:v>99.48</x:v>
      </x:c>
      <x:c r="F41" s="4" t="n">
        <x:v>876</x:v>
      </x:c>
      <x:c r="G41" s="5" t="str">
        <x:v>1 tbsp</x:v>
      </x:c>
      <x:c r="H41" s="4" t="n">
        <x:v>12.8</x:v>
      </x:c>
      <x:c r="I41" s="5" t="str">
        <x:v>1 cup</x:v>
      </x:c>
      <x:c r="J41" s="4" t="n">
        <x:v>205</x:v>
      </x:c>
      <x:c r="K41" s="5"/>
      <x:c r="L41" s="4"/>
    </x:row>
    <x:row r="42" ht="33" customHeight="1">
      <x:c r="A42" s="14" t="n">
        <x:v>41</x:v>
      </x:c>
      <x:c r="B42" s="15" t="str">
        <x:v>Pumpkin seed kernels, dried</x:v>
      </x:c>
      <x:c r="C42" s="16" t="n">
        <x:v>30.23</x:v>
      </x:c>
      <x:c r="D42" s="16" t="n">
        <x:v>10.71</x:v>
      </x:c>
      <x:c r="E42" s="16" t="n">
        <x:v>49.05</x:v>
      </x:c>
      <x:c r="F42" s="17" t="n">
        <x:v>559</x:v>
      </x:c>
      <x:c r="G42" s="15" t="str">
        <x:v>1 cup</x:v>
      </x:c>
      <x:c r="H42" s="17" t="n">
        <x:v>129</x:v>
      </x:c>
      <x:c r="I42" s="15"/>
      <x:c r="J42" s="17"/>
      <x:c r="K42" s="15"/>
      <x:c r="L42" s="17"/>
    </x:row>
    <x:row r="43" ht="33" customHeight="1">
      <x:c r="A43" s="2" t="n">
        <x:v>42</x:v>
      </x:c>
      <x:c r="B43" s="5" t="str">
        <x:v>Chia seeds, dried</x:v>
      </x:c>
      <x:c r="C43" s="3" t="n">
        <x:v>16.54</x:v>
      </x:c>
      <x:c r="D43" s="3" t="n">
        <x:v>42.12</x:v>
      </x:c>
      <x:c r="E43" s="3" t="n">
        <x:v>30.74</x:v>
      </x:c>
      <x:c r="F43" s="4" t="n">
        <x:v>486</x:v>
      </x:c>
      <x:c r="G43" s="5"/>
      <x:c r="H43" s="4"/>
      <x:c r="I43" s="5"/>
      <x:c r="J43" s="4"/>
      <x:c r="K43" s="5"/>
      <x:c r="L43" s="4"/>
    </x:row>
    <x:row r="44" ht="33" customHeight="1">
      <x:c r="A44" s="14" t="n">
        <x:v>43</x:v>
      </x:c>
      <x:c r="B44" s="15" t="str">
        <x:v>Hemp seeds, hulled</x:v>
      </x:c>
      <x:c r="C44" s="16" t="n">
        <x:v>31.56</x:v>
      </x:c>
      <x:c r="D44" s="16" t="n">
        <x:v>8.67</x:v>
      </x:c>
      <x:c r="E44" s="16" t="n">
        <x:v>48.75</x:v>
      </x:c>
      <x:c r="F44" s="17" t="n">
        <x:v>553</x:v>
      </x:c>
      <x:c r="G44" s="15" t="str">
        <x:v>3 tbsp</x:v>
      </x:c>
      <x:c r="H44" s="17" t="n">
        <x:v>30</x:v>
      </x:c>
      <x:c r="I44" s="15"/>
      <x:c r="J44" s="17"/>
      <x:c r="K44" s="15"/>
      <x:c r="L44" s="17"/>
    </x:row>
    <x:row r="45" ht="33" customHeight="1">
      <x:c r="A45" s="2" t="n">
        <x:v>44</x:v>
      </x:c>
      <x:c r="B45" s="5" t="str">
        <x:v>Watermelon seed kernels, dried</x:v>
      </x:c>
      <x:c r="C45" s="3" t="n">
        <x:v>28.33</x:v>
      </x:c>
      <x:c r="D45" s="3" t="n">
        <x:v>15.31</x:v>
      </x:c>
      <x:c r="E45" s="3" t="n">
        <x:v>47.37</x:v>
      </x:c>
      <x:c r="F45" s="4" t="n">
        <x:v>557</x:v>
      </x:c>
      <x:c r="G45" s="5" t="str">
        <x:v>1 cup</x:v>
      </x:c>
      <x:c r="H45" s="4" t="n">
        <x:v>108</x:v>
      </x:c>
      <x:c r="I45" s="5"/>
      <x:c r="J45" s="4"/>
      <x:c r="K45" s="5"/>
      <x:c r="L45" s="4"/>
    </x:row>
    <x:row r="46" ht="33" customHeight="1">
      <x:c r="A46" s="14" t="n">
        <x:v>45</x:v>
      </x:c>
      <x:c r="B46" s="15" t="str">
        <x:v>Almonds, dry-roasted, unsalted</x:v>
      </x:c>
      <x:c r="C46" s="16" t="n">
        <x:v>20.96</x:v>
      </x:c>
      <x:c r="D46" s="16" t="n">
        <x:v>21.01</x:v>
      </x:c>
      <x:c r="E46" s="16" t="n">
        <x:v>52.54</x:v>
      </x:c>
      <x:c r="F46" s="17" t="n">
        <x:v>598</x:v>
      </x:c>
      <x:c r="G46" s="15" t="str">
        <x:v>1 cup whole kernels</x:v>
      </x:c>
      <x:c r="H46" s="17" t="n">
        <x:v>138</x:v>
      </x:c>
      <x:c r="I46" s="15"/>
      <x:c r="J46" s="17"/>
      <x:c r="K46" s="15"/>
      <x:c r="L46" s="17"/>
    </x:row>
    <x:row r="47" ht="33" customHeight="1">
      <x:c r="A47" s="2" t="n">
        <x:v>46</x:v>
      </x:c>
      <x:c r="B47" s="5" t="str">
        <x:v>Cashews, dry-roasted, unsalted</x:v>
      </x:c>
      <x:c r="C47" s="3" t="n">
        <x:v>15.31</x:v>
      </x:c>
      <x:c r="D47" s="3" t="n">
        <x:v>32.69</x:v>
      </x:c>
      <x:c r="E47" s="3" t="n">
        <x:v>46.35</x:v>
      </x:c>
      <x:c r="F47" s="4" t="n">
        <x:v>574</x:v>
      </x:c>
      <x:c r="G47" s="5" t="str">
        <x:v>1 tbsp</x:v>
      </x:c>
      <x:c r="H47" s="4" t="n">
        <x:v>8.6</x:v>
      </x:c>
      <x:c r="I47" s="5" t="str">
        <x:v>1 cup, halves and whole</x:v>
      </x:c>
      <x:c r="J47" s="4" t="n">
        <x:v>137</x:v>
      </x:c>
      <x:c r="K47" s="5"/>
      <x:c r="L47" s="4"/>
    </x:row>
    <x:row r="48" ht="33" customHeight="1">
      <x:c r="A48" s="14" t="n">
        <x:v>47</x:v>
      </x:c>
      <x:c r="B48" s="15" t="str">
        <x:v>Pistachios, dry-roasted, unsalted</x:v>
      </x:c>
      <x:c r="C48" s="16" t="n">
        <x:v>21.05</x:v>
      </x:c>
      <x:c r="D48" s="16" t="n">
        <x:v>28.28</x:v>
      </x:c>
      <x:c r="E48" s="16" t="n">
        <x:v>45.82</x:v>
      </x:c>
      <x:c r="F48" s="17" t="n">
        <x:v>572</x:v>
      </x:c>
      <x:c r="G48" s="15" t="str">
        <x:v>1 cup</x:v>
      </x:c>
      <x:c r="H48" s="17" t="n">
        <x:v>123</x:v>
      </x:c>
      <x:c r="I48" s="15" t="str">
        <x:v>1 kernel</x:v>
      </x:c>
      <x:c r="J48" s="17" t="n">
        <x:v>0.7</x:v>
      </x:c>
      <x:c r="K48" s="15"/>
      <x:c r="L48" s="17"/>
    </x:row>
    <x:row r="49" ht="33" customHeight="1">
      <x:c r="A49" s="2" t="n">
        <x:v>48</x:v>
      </x:c>
      <x:c r="B49" s="5" t="str">
        <x:v>Peanuts, dry-roasted, unsalted</x:v>
      </x:c>
      <x:c r="C49" s="3" t="n">
        <x:v>24.35</x:v>
      </x:c>
      <x:c r="D49" s="3" t="n">
        <x:v>21.26</x:v>
      </x:c>
      <x:c r="E49" s="3" t="n">
        <x:v>49.66</x:v>
      </x:c>
      <x:c r="F49" s="4" t="n">
        <x:v>587</x:v>
      </x:c>
      <x:c r="G49" s="5" t="str">
        <x:v>1 cup</x:v>
      </x:c>
      <x:c r="H49" s="4" t="n">
        <x:v>146</x:v>
      </x:c>
      <x:c r="I49" s="5" t="str">
        <x:v>1 peanut</x:v>
      </x:c>
      <x:c r="J49" s="4" t="n">
        <x:v>1</x:v>
      </x:c>
      <x:c r="K49" s="5"/>
      <x:c r="L49" s="4"/>
    </x:row>
    <x:row r="50" ht="33" customHeight="1">
      <x:c r="A50" s="14" t="n">
        <x:v>49</x:v>
      </x:c>
      <x:c r="B50" s="15" t="str">
        <x:v>Peanut butter, smooth, unsalted</x:v>
      </x:c>
      <x:c r="C50" s="16" t="n">
        <x:v>22.21</x:v>
      </x:c>
      <x:c r="D50" s="16" t="n">
        <x:v>22.31</x:v>
      </x:c>
      <x:c r="E50" s="16" t="n">
        <x:v>51.36</x:v>
      </x:c>
      <x:c r="F50" s="17" t="n">
        <x:v>598</x:v>
      </x:c>
      <x:c r="G50" s="15" t="str">
        <x:v>2 tbsp</x:v>
      </x:c>
      <x:c r="H50" s="17" t="n">
        <x:v>32</x:v>
      </x:c>
      <x:c r="I50" s="15" t="str">
        <x:v>1 cup</x:v>
      </x:c>
      <x:c r="J50" s="17" t="n">
        <x:v>258</x:v>
      </x:c>
      <x:c r="K50" s="15"/>
      <x:c r="L50" s="17"/>
    </x:row>
    <x:row r="51" ht="33" customHeight="1">
      <x:c r="A51" s="2" t="n">
        <x:v>50</x:v>
      </x:c>
      <x:c r="B51" s="5" t="str">
        <x:v>Almond butter, plain, unsalted</x:v>
      </x:c>
      <x:c r="C51" s="3" t="n">
        <x:v>20.96</x:v>
      </x:c>
      <x:c r="D51" s="3" t="n">
        <x:v>18.82</x:v>
      </x:c>
      <x:c r="E51" s="3" t="n">
        <x:v>55.5</x:v>
      </x:c>
      <x:c r="F51" s="4" t="n">
        <x:v>614</x:v>
      </x:c>
      <x:c r="G51" s="5" t="str">
        <x:v>1 tbsp</x:v>
      </x:c>
      <x:c r="H51" s="4" t="n">
        <x:v>16</x:v>
      </x:c>
      <x:c r="I51" s="5" t="str">
        <x:v>1 cup</x:v>
      </x:c>
      <x:c r="J51" s="4" t="n">
        <x:v>250</x:v>
      </x:c>
      <x:c r="K51" s="5"/>
      <x:c r="L51" s="4"/>
    </x:row>
    <x:row r="52" ht="33" customHeight="1">
      <x:c r="A52" s="14" t="n">
        <x:v>51</x:v>
      </x:c>
      <x:c r="B52" s="15" t="str">
        <x:v>Tahini / roasted sesame paste</x:v>
      </x:c>
      <x:c r="C52" s="16" t="n">
        <x:v>17</x:v>
      </x:c>
      <x:c r="D52" s="16" t="n">
        <x:v>21.19</x:v>
      </x:c>
      <x:c r="E52" s="16" t="n">
        <x:v>53.76</x:v>
      </x:c>
      <x:c r="F52" s="17" t="n">
        <x:v>595</x:v>
      </x:c>
      <x:c r="G52" s="15" t="str">
        <x:v>1 tbsp</x:v>
      </x:c>
      <x:c r="H52" s="17" t="n">
        <x:v>15</x:v>
      </x:c>
      <x:c r="I52" s="15"/>
      <x:c r="J52" s="17"/>
      <x:c r="K52" s="15"/>
      <x:c r="L52" s="17"/>
    </x:row>
    <x:row r="53" ht="33" customHeight="1">
      <x:c r="A53" s="2" t="n">
        <x:v>52</x:v>
      </x:c>
      <x:c r="B53" s="5" t="str">
        <x:v>Coconut milk, raw, generic preparation</x:v>
      </x:c>
      <x:c r="C53" s="3" t="n">
        <x:v>2.29</x:v>
      </x:c>
      <x:c r="D53" s="3" t="n">
        <x:v>5.54</x:v>
      </x:c>
      <x:c r="E53" s="3" t="n">
        <x:v>23.84</x:v>
      </x:c>
      <x:c r="F53" s="4" t="n">
        <x:v>230</x:v>
      </x:c>
      <x:c r="G53" s="5" t="str">
        <x:v>1 tbsp</x:v>
      </x:c>
      <x:c r="H53" s="4" t="n">
        <x:v>15</x:v>
      </x:c>
      <x:c r="I53" s="5" t="str">
        <x:v>1 cup</x:v>
      </x:c>
      <x:c r="J53" s="4" t="n">
        <x:v>240</x:v>
      </x:c>
      <x:c r="K53" s="5"/>
      <x:c r="L53" s="4"/>
    </x:row>
    <x:row r="54" ht="33" customHeight="1">
      <x:c r="A54" s="14" t="n">
        <x:v>53</x:v>
      </x:c>
      <x:c r="B54" s="15" t="str">
        <x:v>Coconut cream, raw, unsweetened</x:v>
      </x:c>
      <x:c r="C54" s="16" t="n">
        <x:v>3.63</x:v>
      </x:c>
      <x:c r="D54" s="16" t="n">
        <x:v>6.65</x:v>
      </x:c>
      <x:c r="E54" s="16" t="n">
        <x:v>34.68</x:v>
      </x:c>
      <x:c r="F54" s="17" t="n">
        <x:v>330</x:v>
      </x:c>
      <x:c r="G54" s="15" t="str">
        <x:v>1 tbsp</x:v>
      </x:c>
      <x:c r="H54" s="17" t="n">
        <x:v>15</x:v>
      </x:c>
      <x:c r="I54" s="15" t="str">
        <x:v>1 cup</x:v>
      </x:c>
      <x:c r="J54" s="17" t="n">
        <x:v>240</x:v>
      </x:c>
      <x:c r="K54" s="15"/>
      <x:c r="L54" s="17"/>
    </x:row>
    <x:row r="55" ht="33" customHeight="1">
      <x:c r="A55" s="2" t="n">
        <x:v>54</x:v>
      </x:c>
      <x:c r="B55" s="5" t="str">
        <x:v>Coconut milk, canned</x:v>
      </x:c>
      <x:c r="C55" s="3" t="n">
        <x:v>2.02</x:v>
      </x:c>
      <x:c r="D55" s="3" t="n">
        <x:v>2.81</x:v>
      </x:c>
      <x:c r="E55" s="3" t="n">
        <x:v>21.33</x:v>
      </x:c>
      <x:c r="F55" s="4" t="n">
        <x:v>197</x:v>
      </x:c>
      <x:c r="G55" s="5" t="str">
        <x:v>1 tbsp</x:v>
      </x:c>
      <x:c r="H55" s="4" t="n">
        <x:v>15</x:v>
      </x:c>
      <x:c r="I55" s="5" t="str">
        <x:v>1 cup</x:v>
      </x:c>
      <x:c r="J55" s="4" t="n">
        <x:v>226</x:v>
      </x:c>
      <x:c r="K55" s="5"/>
      <x:c r="L55" s="4"/>
    </x:row>
    <x:row r="56" ht="33" customHeight="1">
      <x:c r="A56" s="14" t="n">
        <x:v>55</x:v>
      </x:c>
      <x:c r="B56" s="15" t="str">
        <x:v>Sunflower kernels, dry-roasted, unsalted</x:v>
      </x:c>
      <x:c r="C56" s="16" t="n">
        <x:v>19.33</x:v>
      </x:c>
      <x:c r="D56" s="16" t="n">
        <x:v>24.07</x:v>
      </x:c>
      <x:c r="E56" s="16" t="n">
        <x:v>49.8</x:v>
      </x:c>
      <x:c r="F56" s="17" t="n">
        <x:v>582</x:v>
      </x:c>
      <x:c r="G56" s="15" t="str">
        <x:v>1 cup</x:v>
      </x:c>
      <x:c r="H56" s="17" t="n">
        <x:v>128</x:v>
      </x:c>
      <x:c r="I56" s="15"/>
      <x:c r="J56" s="17"/>
      <x:c r="K56" s="15"/>
      <x:c r="L56" s="17"/>
    </x:row>
    <x:row r="57" ht="33" customHeight="1">
      <x:c r="A57" s="2" t="n">
        <x:v>56</x:v>
      </x:c>
      <x:c r="B57" s="5" t="str">
        <x:v>Sesame seeds, whole, toasted</x:v>
      </x:c>
      <x:c r="C57" s="3" t="n">
        <x:v>16.96</x:v>
      </x:c>
      <x:c r="D57" s="3" t="n">
        <x:v>25.74</x:v>
      </x:c>
      <x:c r="E57" s="3" t="n">
        <x:v>48</x:v>
      </x:c>
      <x:c r="F57" s="4" t="n">
        <x:v>565</x:v>
      </x:c>
      <x:c r="G57" s="5"/>
      <x:c r="H57" s="4"/>
      <x:c r="I57" s="5"/>
      <x:c r="J57" s="4"/>
      <x:c r="K57" s="5"/>
      <x:c r="L57" s="4"/>
    </x:row>
    <x:row r="58" ht="33" customHeight="1">
      <x:c r="A58" s="14" t="n">
        <x:v>57</x:v>
      </x:c>
      <x:c r="B58" s="15" t="str">
        <x:v>Cheddar cheese</x:v>
      </x:c>
      <x:c r="C58" s="16" t="n">
        <x:v>22.87</x:v>
      </x:c>
      <x:c r="D58" s="16" t="n">
        <x:v>3.09</x:v>
      </x:c>
      <x:c r="E58" s="16" t="n">
        <x:v>33.31</x:v>
      </x:c>
      <x:c r="F58" s="17" t="n">
        <x:v>404</x:v>
      </x:c>
      <x:c r="G58" s="15" t="str">
        <x:v>1 cup, diced</x:v>
      </x:c>
      <x:c r="H58" s="17" t="n">
        <x:v>132</x:v>
      </x:c>
      <x:c r="I58" s="15" t="str">
        <x:v>1 cup, melted</x:v>
      </x:c>
      <x:c r="J58" s="17" t="n">
        <x:v>244</x:v>
      </x:c>
      <x:c r="K58" s="15" t="str">
        <x:v>1 cup, shredded</x:v>
      </x:c>
      <x:c r="L58" s="17" t="n">
        <x:v>113</x:v>
      </x:c>
    </x:row>
    <x:row r="59" ht="33" customHeight="1">
      <x:c r="A59" s="2" t="n">
        <x:v>58</x:v>
      </x:c>
      <x:c r="B59" s="5" t="str">
        <x:v>Cream cheese</x:v>
      </x:c>
      <x:c r="C59" s="3" t="n">
        <x:v>6.15</x:v>
      </x:c>
      <x:c r="D59" s="3" t="n">
        <x:v>5.52</x:v>
      </x:c>
      <x:c r="E59" s="3" t="n">
        <x:v>34.44</x:v>
      </x:c>
      <x:c r="F59" s="4" t="n">
        <x:v>350</x:v>
      </x:c>
      <x:c r="G59" s="5" t="str">
        <x:v>1 tbsp</x:v>
      </x:c>
      <x:c r="H59" s="4" t="n">
        <x:v>14.5</x:v>
      </x:c>
      <x:c r="I59" s="5" t="str">
        <x:v>1 cup</x:v>
      </x:c>
      <x:c r="J59" s="4" t="n">
        <x:v>232</x:v>
      </x:c>
      <x:c r="K59" s="5" t="str">
        <x:v>1 tbsp, whipped</x:v>
      </x:c>
      <x:c r="L59" s="4" t="n">
        <x:v>10</x:v>
      </x:c>
    </x:row>
    <x:row r="60" ht="33" customHeight="1">
      <x:c r="A60" s="14" t="n">
        <x:v>59</x:v>
      </x:c>
      <x:c r="B60" s="15" t="str">
        <x:v>Mozzarella cheese, whole milk</x:v>
      </x:c>
      <x:c r="C60" s="16" t="n">
        <x:v>22.17</x:v>
      </x:c>
      <x:c r="D60" s="16" t="n">
        <x:v>2.19</x:v>
      </x:c>
      <x:c r="E60" s="16" t="n">
        <x:v>22.35</x:v>
      </x:c>
      <x:c r="F60" s="17" t="n">
        <x:v>300</x:v>
      </x:c>
      <x:c r="G60" s="15" t="str">
        <x:v>1 cup, shredded</x:v>
      </x:c>
      <x:c r="H60" s="17" t="n">
        <x:v>112</x:v>
      </x:c>
      <x:c r="I60" s="15" t="str">
        <x:v>6 slices</x:v>
      </x:c>
      <x:c r="J60" s="17" t="n">
        <x:v>170</x:v>
      </x:c>
      <x:c r="K60" s="15"/>
      <x:c r="L60" s="17"/>
    </x:row>
    <x:row r="61" ht="33" customHeight="1">
      <x:c r="A61" s="2" t="n">
        <x:v>60</x:v>
      </x:c>
      <x:c r="B61" s="5" t="str">
        <x:v>Mozzarella cheese, part skim</x:v>
      </x:c>
      <x:c r="C61" s="3" t="n">
        <x:v>24.26</x:v>
      </x:c>
      <x:c r="D61" s="3" t="n">
        <x:v>2.77</x:v>
      </x:c>
      <x:c r="E61" s="3" t="n">
        <x:v>15.92</x:v>
      </x:c>
      <x:c r="F61" s="4" t="n">
        <x:v>254</x:v>
      </x:c>
      <x:c r="G61" s="5"/>
      <x:c r="H61" s="4"/>
      <x:c r="I61" s="5"/>
      <x:c r="J61" s="4"/>
      <x:c r="K61" s="5"/>
      <x:c r="L61" s="4"/>
    </x:row>
    <x:row r="62" ht="33" customHeight="1">
      <x:c r="A62" s="14" t="n">
        <x:v>61</x:v>
      </x:c>
      <x:c r="B62" s="15" t="str">
        <x:v>Parmesan cheese, hard</x:v>
      </x:c>
      <x:c r="C62" s="16" t="n">
        <x:v>35.75</x:v>
      </x:c>
      <x:c r="D62" s="16" t="n">
        <x:v>3.22</x:v>
      </x:c>
      <x:c r="E62" s="16" t="n">
        <x:v>25.83</x:v>
      </x:c>
      <x:c r="F62" s="17" t="n">
        <x:v>392</x:v>
      </x:c>
      <x:c r="G62" s="15" t="str">
        <x:v>5 package (5 oz)</x:v>
      </x:c>
      <x:c r="H62" s="17" t="n">
        <x:v>142</x:v>
      </x:c>
      <x:c r="I62" s="15"/>
      <x:c r="J62" s="17"/>
      <x:c r="K62" s="15"/>
      <x:c r="L62" s="17"/>
    </x:row>
    <x:row r="63" ht="33" customHeight="1">
      <x:c r="A63" s="2" t="n">
        <x:v>62</x:v>
      </x:c>
      <x:c r="B63" s="5" t="str">
        <x:v>Gouda cheese</x:v>
      </x:c>
      <x:c r="C63" s="3" t="n">
        <x:v>24.94</x:v>
      </x:c>
      <x:c r="D63" s="3" t="n">
        <x:v>2.22</x:v>
      </x:c>
      <x:c r="E63" s="3" t="n">
        <x:v>27.44</x:v>
      </x:c>
      <x:c r="F63" s="4" t="n">
        <x:v>356</x:v>
      </x:c>
      <x:c r="G63" s="5" t="str">
        <x:v>1 package (7 oz)</x:v>
      </x:c>
      <x:c r="H63" s="4" t="n">
        <x:v>198</x:v>
      </x:c>
      <x:c r="I63" s="5"/>
      <x:c r="J63" s="4"/>
      <x:c r="K63" s="5"/>
      <x:c r="L63" s="4"/>
    </x:row>
    <x:row r="64" ht="33" customHeight="1">
      <x:c r="A64" s="14" t="n">
        <x:v>63</x:v>
      </x:c>
      <x:c r="B64" s="15" t="str">
        <x:v>Feta cheese</x:v>
      </x:c>
      <x:c r="C64" s="16" t="n">
        <x:v>14.21</x:v>
      </x:c>
      <x:c r="D64" s="16" t="n">
        <x:v>4.09</x:v>
      </x:c>
      <x:c r="E64" s="16" t="n">
        <x:v>21.28</x:v>
      </x:c>
      <x:c r="F64" s="17" t="n">
        <x:v>264</x:v>
      </x:c>
      <x:c r="G64" s="15" t="str">
        <x:v>1 cup, crumbled</x:v>
      </x:c>
      <x:c r="H64" s="17" t="n">
        <x:v>150</x:v>
      </x:c>
      <x:c r="I64" s="15" t="str">
        <x:v>1 wedge (1.33 oz)</x:v>
      </x:c>
      <x:c r="J64" s="17" t="n">
        <x:v>38</x:v>
      </x:c>
      <x:c r="K64" s="15"/>
      <x:c r="L64" s="17"/>
    </x:row>
    <x:row r="65" ht="33" customHeight="1">
      <x:c r="A65" s="2" t="n">
        <x:v>64</x:v>
      </x:c>
      <x:c r="B65" s="5" t="str">
        <x:v>Processed cheese spread, American-style</x:v>
      </x:c>
      <x:c r="C65" s="3" t="n">
        <x:v>16.41</x:v>
      </x:c>
      <x:c r="D65" s="3" t="n">
        <x:v>8.73</x:v>
      </x:c>
      <x:c r="E65" s="3" t="n">
        <x:v>21.23</x:v>
      </x:c>
      <x:c r="F65" s="4" t="n">
        <x:v>290</x:v>
      </x:c>
      <x:c r="G65" s="5" t="str">
        <x:v>1 slice</x:v>
      </x:c>
      <x:c r="H65" s="4" t="n">
        <x:v>34</x:v>
      </x:c>
      <x:c r="I65" s="5" t="str">
        <x:v>1 cup, diced</x:v>
      </x:c>
      <x:c r="J65" s="4" t="n">
        <x:v>140</x:v>
      </x:c>
      <x:c r="K65" s="5" t="str">
        <x:v>1 cup</x:v>
      </x:c>
      <x:c r="L65" s="4" t="n">
        <x:v>244</x:v>
      </x:c>
    </x:row>
    <x:row r="66" ht="33" customHeight="1">
      <x:c r="A66" s="14" t="n">
        <x:v>65</x:v>
      </x:c>
      <x:c r="B66" s="15" t="str">
        <x:v>Table cream, light</x:v>
      </x:c>
      <x:c r="C66" s="16" t="n">
        <x:v>2.96</x:v>
      </x:c>
      <x:c r="D66" s="16" t="n">
        <x:v>2.82</x:v>
      </x:c>
      <x:c r="E66" s="16" t="n">
        <x:v>19.1</x:v>
      </x:c>
      <x:c r="F66" s="17" t="n">
        <x:v>191</x:v>
      </x:c>
      <x:c r="G66" s="15" t="str">
        <x:v>1 tbsp</x:v>
      </x:c>
      <x:c r="H66" s="17" t="n">
        <x:v>15</x:v>
      </x:c>
      <x:c r="I66" s="15" t="str">
        <x:v>1 cup</x:v>
      </x:c>
      <x:c r="J66" s="17" t="n">
        <x:v>240</x:v>
      </x:c>
      <x:c r="K66" s="15" t="str">
        <x:v>1 container, individual</x:v>
      </x:c>
      <x:c r="L66" s="17" t="n">
        <x:v>11.1</x:v>
      </x:c>
    </x:row>
    <x:row r="67" ht="33" customHeight="1">
      <x:c r="A67" s="2" t="n">
        <x:v>66</x:v>
      </x:c>
      <x:c r="B67" s="5" t="str">
        <x:v>Heavy whipping cream, fluid</x:v>
      </x:c>
      <x:c r="C67" s="3" t="n">
        <x:v>2.84</x:v>
      </x:c>
      <x:c r="D67" s="3" t="n">
        <x:v>2.74</x:v>
      </x:c>
      <x:c r="E67" s="3" t="n">
        <x:v>36.08</x:v>
      </x:c>
      <x:c r="F67" s="4" t="n">
        <x:v>340</x:v>
      </x:c>
      <x:c r="G67" s="5" t="str">
        <x:v>1 tbsp</x:v>
      </x:c>
      <x:c r="H67" s="4" t="n">
        <x:v>15</x:v>
      </x:c>
      <x:c r="I67" s="5" t="str">
        <x:v>1 cup, whipped</x:v>
      </x:c>
      <x:c r="J67" s="4" t="n">
        <x:v>120</x:v>
      </x:c>
      <x:c r="K67" s="5" t="str">
        <x:v>1 fl oz</x:v>
      </x:c>
      <x:c r="L67" s="4" t="n">
        <x:v>29.8</x:v>
      </x:c>
    </x:row>
    <x:row r="68" ht="33" customHeight="1">
      <x:c r="A68" s="14" t="n">
        <x:v>67</x:v>
      </x:c>
      <x:c r="B68" s="15" t="str">
        <x:v>Whole milk powder</x:v>
      </x:c>
      <x:c r="C68" s="16" t="n">
        <x:v>26.32</x:v>
      </x:c>
      <x:c r="D68" s="16" t="n">
        <x:v>38.42</x:v>
      </x:c>
      <x:c r="E68" s="16" t="n">
        <x:v>26.71</x:v>
      </x:c>
      <x:c r="F68" s="17" t="n">
        <x:v>496</x:v>
      </x:c>
      <x:c r="G68" s="15" t="str">
        <x:v>0.25 cup</x:v>
      </x:c>
      <x:c r="H68" s="17" t="n">
        <x:v>32</x:v>
      </x:c>
      <x:c r="I68" s="15" t="str">
        <x:v>1 cup</x:v>
      </x:c>
      <x:c r="J68" s="17" t="n">
        <x:v>128</x:v>
      </x:c>
      <x:c r="K68" s="15"/>
      <x:c r="L68" s="17"/>
    </x:row>
    <x:row r="69" ht="33" customHeight="1">
      <x:c r="A69" s="2" t="n">
        <x:v>68</x:v>
      </x:c>
      <x:c r="B69" s="5" t="str">
        <x:v>Condensed milk, sweetened</x:v>
      </x:c>
      <x:c r="C69" s="3" t="n">
        <x:v>7.91</x:v>
      </x:c>
      <x:c r="D69" s="3" t="n">
        <x:v>54.4</x:v>
      </x:c>
      <x:c r="E69" s="3" t="n">
        <x:v>8.7</x:v>
      </x:c>
      <x:c r="F69" s="4" t="n">
        <x:v>321</x:v>
      </x:c>
      <x:c r="G69" s="5" t="str">
        <x:v>1 cup</x:v>
      </x:c>
      <x:c r="H69" s="4" t="n">
        <x:v>306</x:v>
      </x:c>
      <x:c r="I69" s="5" t="str">
        <x:v>1 fl oz</x:v>
      </x:c>
      <x:c r="J69" s="4" t="n">
        <x:v>38.2</x:v>
      </x:c>
      <x:c r="K69" s="5"/>
      <x:c r="L69" s="4"/>
    </x:row>
    <x:row r="70" ht="33" customHeight="1">
      <x:c r="A70" s="14" t="n">
        <x:v>69</x:v>
      </x:c>
      <x:c r="B70" s="15" t="str">
        <x:v>Curd / plain whole-milk yogurt</x:v>
      </x:c>
      <x:c r="C70" s="16" t="n">
        <x:v>3.47</x:v>
      </x:c>
      <x:c r="D70" s="16" t="n">
        <x:v>4.66</x:v>
      </x:c>
      <x:c r="E70" s="16" t="n">
        <x:v>3.25</x:v>
      </x:c>
      <x:c r="F70" s="17" t="n">
        <x:v>61</x:v>
      </x:c>
      <x:c r="G70" s="15" t="str">
        <x:v>1 container (6 oz)</x:v>
      </x:c>
      <x:c r="H70" s="17" t="n">
        <x:v>170</x:v>
      </x:c>
      <x:c r="I70" s="15" t="str">
        <x:v>1 container (8 oz)</x:v>
      </x:c>
      <x:c r="J70" s="17" t="n">
        <x:v>227</x:v>
      </x:c>
      <x:c r="K70" s="15" t="str">
        <x:v>0.5 container (4 oz)</x:v>
      </x:c>
      <x:c r="L70" s="17" t="n">
        <x:v>113</x:v>
      </x:c>
    </x:row>
    <x:row r="71" ht="33" customHeight="1">
      <x:c r="A71" s="2" t="n">
        <x:v>70</x:v>
      </x:c>
      <x:c r="B71" s="5" t="str">
        <x:v>Chicken egg, whole, raw</x:v>
      </x:c>
      <x:c r="C71" s="3" t="n">
        <x:v>12.56</x:v>
      </x:c>
      <x:c r="D71" s="3" t="n">
        <x:v>0.72</x:v>
      </x:c>
      <x:c r="E71" s="3" t="n">
        <x:v>9.51</x:v>
      </x:c>
      <x:c r="F71" s="4" t="n">
        <x:v>143</x:v>
      </x:c>
      <x:c r="G71" s="5" t="str">
        <x:v>1 large</x:v>
      </x:c>
      <x:c r="H71" s="4" t="n">
        <x:v>50</x:v>
      </x:c>
      <x:c r="I71" s="5" t="str">
        <x:v>1 medium</x:v>
      </x:c>
      <x:c r="J71" s="4" t="n">
        <x:v>44</x:v>
      </x:c>
      <x:c r="K71" s="5" t="str">
        <x:v>1 small</x:v>
      </x:c>
      <x:c r="L71" s="4" t="n">
        <x:v>38</x:v>
      </x:c>
    </x:row>
    <x:row r="72" ht="33" customHeight="1">
      <x:c r="A72" s="14" t="n">
        <x:v>71</x:v>
      </x:c>
      <x:c r="B72" s="15" t="str">
        <x:v>Chicken egg, whole, hard-boiled</x:v>
      </x:c>
      <x:c r="C72" s="16" t="n">
        <x:v>12.58</x:v>
      </x:c>
      <x:c r="D72" s="16" t="n">
        <x:v>1.12</x:v>
      </x:c>
      <x:c r="E72" s="16" t="n">
        <x:v>10.61</x:v>
      </x:c>
      <x:c r="F72" s="17" t="n">
        <x:v>155</x:v>
      </x:c>
      <x:c r="G72" s="15" t="str">
        <x:v>1 tbsp</x:v>
      </x:c>
      <x:c r="H72" s="17" t="n">
        <x:v>8.5</x:v>
      </x:c>
      <x:c r="I72" s="15" t="str">
        <x:v>1 large</x:v>
      </x:c>
      <x:c r="J72" s="17" t="n">
        <x:v>50</x:v>
      </x:c>
      <x:c r="K72" s="15" t="str">
        <x:v>1 cup, chopped</x:v>
      </x:c>
      <x:c r="L72" s="17" t="n">
        <x:v>136</x:v>
      </x:c>
    </x:row>
    <x:row r="73" ht="33" customHeight="1">
      <x:c r="A73" s="2" t="n">
        <x:v>72</x:v>
      </x:c>
      <x:c r="B73" s="5" t="str">
        <x:v>Chicken egg yolk, raw</x:v>
      </x:c>
      <x:c r="C73" s="3" t="n">
        <x:v>15.86</x:v>
      </x:c>
      <x:c r="D73" s="3" t="n">
        <x:v>3.59</x:v>
      </x:c>
      <x:c r="E73" s="3" t="n">
        <x:v>26.54</x:v>
      </x:c>
      <x:c r="F73" s="4" t="n">
        <x:v>322</x:v>
      </x:c>
      <x:c r="G73" s="5" t="str">
        <x:v>1 large</x:v>
      </x:c>
      <x:c r="H73" s="4" t="n">
        <x:v>17</x:v>
      </x:c>
      <x:c r="I73" s="5" t="str">
        <x:v>1 cup</x:v>
      </x:c>
      <x:c r="J73" s="4" t="n">
        <x:v>243</x:v>
      </x:c>
      <x:c r="K73" s="5"/>
      <x:c r="L73" s="4"/>
    </x:row>
    <x:row r="74" ht="33" customHeight="1">
      <x:c r="A74" s="14" t="n">
        <x:v>73</x:v>
      </x:c>
      <x:c r="B74" s="15" t="str">
        <x:v>Duck egg, whole, raw</x:v>
      </x:c>
      <x:c r="C74" s="16" t="n">
        <x:v>12.81</x:v>
      </x:c>
      <x:c r="D74" s="16" t="n">
        <x:v>1.45</x:v>
      </x:c>
      <x:c r="E74" s="16" t="n">
        <x:v>13.77</x:v>
      </x:c>
      <x:c r="F74" s="17" t="n">
        <x:v>185</x:v>
      </x:c>
      <x:c r="G74" s="15" t="str">
        <x:v>1 egg</x:v>
      </x:c>
      <x:c r="H74" s="17" t="n">
        <x:v>70</x:v>
      </x:c>
      <x:c r="I74" s="15"/>
      <x:c r="J74" s="17"/>
      <x:c r="K74" s="15"/>
      <x:c r="L74" s="17"/>
    </x:row>
    <x:row r="75" ht="33" customHeight="1">
      <x:c r="A75" s="2" t="n">
        <x:v>74</x:v>
      </x:c>
      <x:c r="B75" s="5" t="str">
        <x:v>Quail egg, whole, raw</x:v>
      </x:c>
      <x:c r="C75" s="3" t="n">
        <x:v>13.05</x:v>
      </x:c>
      <x:c r="D75" s="3" t="n">
        <x:v>0.41</x:v>
      </x:c>
      <x:c r="E75" s="3" t="n">
        <x:v>11.09</x:v>
      </x:c>
      <x:c r="F75" s="4" t="n">
        <x:v>158</x:v>
      </x:c>
      <x:c r="G75" s="5" t="str">
        <x:v>1 egg</x:v>
      </x:c>
      <x:c r="H75" s="4" t="n">
        <x:v>9</x:v>
      </x:c>
      <x:c r="I75" s="5"/>
      <x:c r="J75" s="4"/>
      <x:c r="K75" s="5"/>
      <x:c r="L75" s="4"/>
    </x:row>
    <x:row r="76" ht="33" customHeight="1">
      <x:c r="A76" s="14" t="n">
        <x:v>75</x:v>
      </x:c>
      <x:c r="B76" s="15" t="str">
        <x:v>Chicken thigh, meat and skin, roasted</x:v>
      </x:c>
      <x:c r="C76" s="16" t="n">
        <x:v>23.26</x:v>
      </x:c>
      <x:c r="D76" s="16" t="n">
        <x:v>0</x:v>
      </x:c>
      <x:c r="E76" s="16" t="n">
        <x:v>14.71</x:v>
      </x:c>
      <x:c r="F76" s="17" t="n">
        <x:v>232</x:v>
      </x:c>
      <x:c r="G76" s="15" t="str">
        <x:v>1 thigh with skin</x:v>
      </x:c>
      <x:c r="H76" s="17" t="n">
        <x:v>137</x:v>
      </x:c>
      <x:c r="I76" s="15" t="str">
        <x:v>1 thigh without skin</x:v>
      </x:c>
      <x:c r="J76" s="17" t="n">
        <x:v>116</x:v>
      </x:c>
      <x:c r="K76" s="15"/>
      <x:c r="L76" s="17"/>
    </x:row>
    <x:row r="77" ht="33" customHeight="1">
      <x:c r="A77" s="2" t="n">
        <x:v>76</x:v>
      </x:c>
      <x:c r="B77" s="5" t="str">
        <x:v>Chicken wing, meat and skin, roasted</x:v>
      </x:c>
      <x:c r="C77" s="3" t="n">
        <x:v>23.79</x:v>
      </x:c>
      <x:c r="D77" s="3" t="n">
        <x:v>0</x:v>
      </x:c>
      <x:c r="E77" s="3" t="n">
        <x:v>16.87</x:v>
      </x:c>
      <x:c r="F77" s="4" t="n">
        <x:v>254</x:v>
      </x:c>
      <x:c r="G77" s="5" t="str">
        <x:v>1 piece</x:v>
      </x:c>
      <x:c r="H77" s="4" t="n">
        <x:v>85</x:v>
      </x:c>
      <x:c r="I77" s="5"/>
      <x:c r="J77" s="4"/>
      <x:c r="K77" s="5"/>
      <x:c r="L77" s="4"/>
    </x:row>
    <x:row r="78" ht="33" customHeight="1">
      <x:c r="A78" s="14" t="n">
        <x:v>77</x:v>
      </x:c>
      <x:c r="B78" s="15" t="str">
        <x:v>Duck, meat and skin, roasted</x:v>
      </x:c>
      <x:c r="C78" s="16" t="n">
        <x:v>18.99</x:v>
      </x:c>
      <x:c r="D78" s="16" t="n">
        <x:v>0</x:v>
      </x:c>
      <x:c r="E78" s="16" t="n">
        <x:v>28.35</x:v>
      </x:c>
      <x:c r="F78" s="17" t="n">
        <x:v>337</x:v>
      </x:c>
      <x:c r="G78" s="15" t="str">
        <x:v>1 cup, chopped or diced</x:v>
      </x:c>
      <x:c r="H78" s="17" t="n">
        <x:v>140</x:v>
      </x:c>
      <x:c r="I78" s="15" t="str">
        <x:v>0.5 duck</x:v>
      </x:c>
      <x:c r="J78" s="17" t="n">
        <x:v>382</x:v>
      </x:c>
      <x:c r="K78" s="15"/>
      <x:c r="L78" s="17"/>
    </x:row>
    <x:row r="79" ht="33" customHeight="1">
      <x:c r="A79" s="2" t="n">
        <x:v>78</x:v>
      </x:c>
      <x:c r="B79" s="5" t="str">
        <x:v>Pork belly, raw</x:v>
      </x:c>
      <x:c r="C79" s="3" t="n">
        <x:v>9.34</x:v>
      </x:c>
      <x:c r="D79" s="3" t="n">
        <x:v>0</x:v>
      </x:c>
      <x:c r="E79" s="3" t="n">
        <x:v>53.01</x:v>
      </x:c>
      <x:c r="F79" s="4" t="n">
        <x:v>518</x:v>
      </x:c>
      <x:c r="G79" s="5"/>
      <x:c r="H79" s="4"/>
      <x:c r="I79" s="5"/>
      <x:c r="J79" s="4"/>
      <x:c r="K79" s="5"/>
      <x:c r="L79" s="4"/>
    </x:row>
    <x:row r="80" ht="33" customHeight="1">
      <x:c r="A80" s="14" t="n">
        <x:v>79</x:v>
      </x:c>
      <x:c r="B80" s="15" t="str">
        <x:v>Pork loin, lean and fat, roasted</x:v>
      </x:c>
      <x:c r="C80" s="16" t="n">
        <x:v>27.09</x:v>
      </x:c>
      <x:c r="D80" s="16" t="n">
        <x:v>0</x:v>
      </x:c>
      <x:c r="E80" s="16" t="n">
        <x:v>14.65</x:v>
      </x:c>
      <x:c r="F80" s="17" t="n">
        <x:v>248</x:v>
      </x:c>
      <x:c r="G80" s="15"/>
      <x:c r="H80" s="17"/>
      <x:c r="I80" s="15"/>
      <x:c r="J80" s="17"/>
      <x:c r="K80" s="15"/>
      <x:c r="L80" s="17"/>
    </x:row>
    <x:row r="81" ht="33" customHeight="1">
      <x:c r="A81" s="2" t="n">
        <x:v>80</x:v>
      </x:c>
      <x:c r="B81" s="5" t="str">
        <x:v>Lamb mince, broiled</x:v>
      </x:c>
      <x:c r="C81" s="3" t="n">
        <x:v>24.75</x:v>
      </x:c>
      <x:c r="D81" s="3" t="n">
        <x:v>0</x:v>
      </x:c>
      <x:c r="E81" s="3" t="n">
        <x:v>19.65</x:v>
      </x:c>
      <x:c r="F81" s="4" t="n">
        <x:v>283</x:v>
      </x:c>
      <x:c r="G81" s="5"/>
      <x:c r="H81" s="4"/>
      <x:c r="I81" s="5"/>
      <x:c r="J81" s="4"/>
      <x:c r="K81" s="5"/>
      <x:c r="L81" s="4"/>
    </x:row>
    <x:row r="82" ht="33" customHeight="1">
      <x:c r="A82" s="14" t="n">
        <x:v>81</x:v>
      </x:c>
      <x:c r="B82" s="15" t="str">
        <x:v>Atlantic mackerel, dry-heat cooked (not Indian bangda)</x:v>
      </x:c>
      <x:c r="C82" s="16" t="n">
        <x:v>23.85</x:v>
      </x:c>
      <x:c r="D82" s="16" t="n">
        <x:v>0</x:v>
      </x:c>
      <x:c r="E82" s="16" t="n">
        <x:v>17.81</x:v>
      </x:c>
      <x:c r="F82" s="17" t="n">
        <x:v>262</x:v>
      </x:c>
      <x:c r="G82" s="15" t="str">
        <x:v>1 fillet</x:v>
      </x:c>
      <x:c r="H82" s="17" t="n">
        <x:v>88</x:v>
      </x:c>
      <x:c r="I82" s="15"/>
      <x:c r="J82" s="17"/>
      <x:c r="K82" s="15"/>
      <x:c r="L82" s="17"/>
    </x:row>
    <x:row r="83" ht="33" customHeight="1">
      <x:c r="A83" s="2" t="n">
        <x:v>82</x:v>
      </x:c>
      <x:c r="B83" s="5" t="str">
        <x:v>Atlantic farmed salmon, dry-heat cooked (not rawas)</x:v>
      </x:c>
      <x:c r="C83" s="3" t="n">
        <x:v>22.1</x:v>
      </x:c>
      <x:c r="D83" s="3" t="n">
        <x:v>0</x:v>
      </x:c>
      <x:c r="E83" s="3" t="n">
        <x:v>12.35</x:v>
      </x:c>
      <x:c r="F83" s="4" t="n">
        <x:v>206</x:v>
      </x:c>
      <x:c r="G83" s="5" t="str">
        <x:v>0.5 fillet</x:v>
      </x:c>
      <x:c r="H83" s="4" t="n">
        <x:v>178</x:v>
      </x:c>
      <x:c r="I83" s="5"/>
      <x:c r="J83" s="4"/>
      <x:c r="K83" s="5"/>
      <x:c r="L83" s="4"/>
    </x:row>
    <x:row r="84" ht="33" customHeight="1">
      <x:c r="A84" s="14" t="n">
        <x:v>83</x:v>
      </x:c>
      <x:c r="B84" s="15" t="str">
        <x:v>Atlantic sardines, canned in oil, drained, with bones</x:v>
      </x:c>
      <x:c r="C84" s="16" t="n">
        <x:v>24.62</x:v>
      </x:c>
      <x:c r="D84" s="16" t="n">
        <x:v>0</x:v>
      </x:c>
      <x:c r="E84" s="16" t="n">
        <x:v>11.45</x:v>
      </x:c>
      <x:c r="F84" s="17" t="n">
        <x:v>208</x:v>
      </x:c>
      <x:c r="G84" s="15" t="str">
        <x:v>1 cup, drained</x:v>
      </x:c>
      <x:c r="H84" s="17" t="n">
        <x:v>149</x:v>
      </x:c>
      <x:c r="I84" s="15" t="str">
        <x:v>1 can (3.75 oz)</x:v>
      </x:c>
      <x:c r="J84" s="17" t="n">
        <x:v>92</x:v>
      </x:c>
      <x:c r="K84" s="15" t="str">
        <x:v>1 small (2-2/3" x 1/2" x 1/4")</x:v>
      </x:c>
      <x:c r="L84" s="17" t="n">
        <x:v>12</x:v>
      </x:c>
    </x:row>
    <x:row r="85" ht="33" customHeight="1">
      <x:c r="A85" s="2" t="n">
        <x:v>84</x:v>
      </x:c>
      <x:c r="B85" s="5" t="str">
        <x:v>Mayonnaise, regular</x:v>
      </x:c>
      <x:c r="C85" s="3" t="n">
        <x:v>0.96</x:v>
      </x:c>
      <x:c r="D85" s="3" t="n">
        <x:v>0.57</x:v>
      </x:c>
      <x:c r="E85" s="3" t="n">
        <x:v>74.85</x:v>
      </x:c>
      <x:c r="F85" s="4" t="n">
        <x:v>680</x:v>
      </x:c>
      <x:c r="G85" s="5" t="str">
        <x:v>1 tbsp</x:v>
      </x:c>
      <x:c r="H85" s="4" t="n">
        <x:v>13.8</x:v>
      </x:c>
      <x:c r="I85" s="5" t="str">
        <x:v>1 cup</x:v>
      </x:c>
      <x:c r="J85" s="4" t="n">
        <x:v>220</x:v>
      </x:c>
      <x:c r="K85" s="5" t="str">
        <x:v>1 packet</x:v>
      </x:c>
      <x:c r="L85" s="4" t="n">
        <x:v>10</x:v>
      </x:c>
    </x:row>
    <x:row r="86" ht="33" customHeight="1">
      <x:c r="A86" s="14" t="n">
        <x:v>85</x:v>
      </x:c>
      <x:c r="B86" s="15" t="str">
        <x:v>Thousand Island dressing, regular</x:v>
      </x:c>
      <x:c r="C86" s="16" t="n">
        <x:v>1.09</x:v>
      </x:c>
      <x:c r="D86" s="16" t="n">
        <x:v>14.64</x:v>
      </x:c>
      <x:c r="E86" s="16" t="n">
        <x:v>35.06</x:v>
      </x:c>
      <x:c r="F86" s="17" t="n">
        <x:v>379</x:v>
      </x:c>
      <x:c r="G86" s="15" t="str">
        <x:v>1 tbsp</x:v>
      </x:c>
      <x:c r="H86" s="17" t="n">
        <x:v>16</x:v>
      </x:c>
      <x:c r="I86" s="15" t="str">
        <x:v>1 cup</x:v>
      </x:c>
      <x:c r="J86" s="17" t="n">
        <x:v>250</x:v>
      </x:c>
      <x:c r="K86" s="15" t="str">
        <x:v>1 serving (2 tbsp)</x:v>
      </x:c>
      <x:c r="L86" s="17" t="n">
        <x:v>30</x:v>
      </x:c>
    </x:row>
    <x:row r="87" ht="33" customHeight="1">
      <x:c r="A87" s="2" t="n">
        <x:v>86</x:v>
      </x:c>
      <x:c r="B87" s="5" t="str">
        <x:v>Chocolate-hazelnut spread</x:v>
      </x:c>
      <x:c r="C87" s="3" t="n">
        <x:v>5.41</x:v>
      </x:c>
      <x:c r="D87" s="3" t="n">
        <x:v>62.16</x:v>
      </x:c>
      <x:c r="E87" s="3" t="n">
        <x:v>29.73</x:v>
      </x:c>
      <x:c r="F87" s="4" t="n">
        <x:v>541</x:v>
      </x:c>
      <x:c r="G87" s="5" t="str">
        <x:v>1 serving 2 TBSP</x:v>
      </x:c>
      <x:c r="H87" s="4" t="n">
        <x:v>37</x:v>
      </x:c>
      <x:c r="I87" s="5"/>
      <x:c r="J87" s="4"/>
      <x:c r="K87" s="5"/>
      <x:c r="L87" s="4"/>
    </x:row>
    <x:row r="88" ht="33" customHeight="1">
      <x:c r="A88" s="14" t="n">
        <x:v>87</x:v>
      </x:c>
      <x:c r="B88" s="15" t="str">
        <x:v>Dark chocolate, 70-85% cocoa solids</x:v>
      </x:c>
      <x:c r="C88" s="16" t="n">
        <x:v>7.79</x:v>
      </x:c>
      <x:c r="D88" s="16" t="n">
        <x:v>45.9</x:v>
      </x:c>
      <x:c r="E88" s="16" t="n">
        <x:v>42.63</x:v>
      </x:c>
      <x:c r="F88" s="17" t="n">
        <x:v>598</x:v>
      </x:c>
      <x:c r="G88" s="15" t="str">
        <x:v>1 bar</x:v>
      </x:c>
      <x:c r="H88" s="17" t="n">
        <x:v>101</x:v>
      </x:c>
      <x:c r="I88" s="15"/>
      <x:c r="J88" s="17"/>
      <x:c r="K88" s="15"/>
      <x:c r="L88" s="17"/>
    </x:row>
    <x:row r="89" ht="33" customHeight="1">
      <x:c r="A89" s="2" t="n">
        <x:v>88</x:v>
      </x:c>
      <x:c r="B89" s="5" t="str">
        <x:v>Milk chocolate, plain</x:v>
      </x:c>
      <x:c r="C89" s="3" t="n">
        <x:v>7.65</x:v>
      </x:c>
      <x:c r="D89" s="3" t="n">
        <x:v>59.4</x:v>
      </x:c>
      <x:c r="E89" s="3" t="n">
        <x:v>29.66</x:v>
      </x:c>
      <x:c r="F89" s="4" t="n">
        <x:v>535</x:v>
      </x:c>
      <x:c r="G89" s="5" t="str">
        <x:v>1 cup chips</x:v>
      </x:c>
      <x:c r="H89" s="4" t="n">
        <x:v>168</x:v>
      </x:c>
      <x:c r="I89" s="5" t="str">
        <x:v>1 bar, miniature</x:v>
      </x:c>
      <x:c r="J89" s="4" t="n">
        <x:v>7</x:v>
      </x:c>
      <x:c r="K89" s="5" t="str">
        <x:v>1 bar (1.55 oz)</x:v>
      </x:c>
      <x:c r="L89" s="4" t="n">
        <x:v>44</x:v>
      </x:c>
    </x:row>
    <x:row r="90" ht="33" customHeight="1">
      <x:c r="A90" s="14" t="n">
        <x:v>89</x:v>
      </x:c>
      <x:c r="B90" s="15" t="str">
        <x:v>White chocolate</x:v>
      </x:c>
      <x:c r="C90" s="16" t="n">
        <x:v>5.87</x:v>
      </x:c>
      <x:c r="D90" s="16" t="n">
        <x:v>59.24</x:v>
      </x:c>
      <x:c r="E90" s="16" t="n">
        <x:v>32.09</x:v>
      </x:c>
      <x:c r="F90" s="17" t="n">
        <x:v>539</x:v>
      </x:c>
      <x:c r="G90" s="15" t="str">
        <x:v>1 tbsp</x:v>
      </x:c>
      <x:c r="H90" s="17" t="n">
        <x:v>14</x:v>
      </x:c>
      <x:c r="I90" s="15" t="str">
        <x:v>1 cup chips</x:v>
      </x:c>
      <x:c r="J90" s="17" t="n">
        <x:v>170</x:v>
      </x:c>
      <x:c r="K90" s="15" t="str">
        <x:v>1 bar (3 oz)</x:v>
      </x:c>
      <x:c r="L90" s="17" t="n">
        <x:v>85</x:v>
      </x:c>
    </x:row>
    <x:row r="91" ht="33" customHeight="1">
      <x:c r="A91" s="2" t="n">
        <x:v>90</x:v>
      </x:c>
      <x:c r="B91" s="5" t="str">
        <x:v>Potato chips, plain, salted</x:v>
      </x:c>
      <x:c r="C91" s="3" t="n">
        <x:v>6.39</x:v>
      </x:c>
      <x:c r="D91" s="3" t="n">
        <x:v>53.83</x:v>
      </x:c>
      <x:c r="E91" s="3" t="n">
        <x:v>33.98</x:v>
      </x:c>
      <x:c r="F91" s="4" t="n">
        <x:v>532</x:v>
      </x:c>
      <x:c r="G91" s="5" t="str">
        <x:v>22 chips</x:v>
      </x:c>
      <x:c r="H91" s="4" t="n">
        <x:v>28</x:v>
      </x:c>
      <x:c r="I91" s="5" t="str">
        <x:v>1 bag (8 oz)</x:v>
      </x:c>
      <x:c r="J91" s="4" t="n">
        <x:v>227</x:v>
      </x:c>
      <x:c r="K91" s="5"/>
      <x:c r="L91" s="4"/>
    </x:row>
    <x:row r="92" ht="33" customHeight="1">
      <x:c r="A92" s="14" t="n">
        <x:v>91</x:v>
      </x:c>
      <x:c r="B92" s="15" t="str">
        <x:v>Banana chips, generic</x:v>
      </x:c>
      <x:c r="C92" s="16" t="n">
        <x:v>2.3</x:v>
      </x:c>
      <x:c r="D92" s="16" t="n">
        <x:v>58.4</x:v>
      </x:c>
      <x:c r="E92" s="16" t="n">
        <x:v>33.6</x:v>
      </x:c>
      <x:c r="F92" s="17" t="n">
        <x:v>519</x:v>
      </x:c>
      <x:c r="G92" s="15"/>
      <x:c r="H92" s="17"/>
      <x:c r="I92" s="15"/>
      <x:c r="J92" s="17"/>
      <x:c r="K92" s="15"/>
      <x:c r="L92" s="17"/>
    </x:row>
    <x:row r="93" ht="33" customHeight="1">
      <x:c r="A93" s="2" t="n">
        <x:v>92</x:v>
      </x:c>
      <x:c r="B93" s="5" t="str">
        <x:v>Butter croissant</x:v>
      </x:c>
      <x:c r="C93" s="3" t="n">
        <x:v>8.2</x:v>
      </x:c>
      <x:c r="D93" s="3" t="n">
        <x:v>45.8</x:v>
      </x:c>
      <x:c r="E93" s="3" t="n">
        <x:v>21</x:v>
      </x:c>
      <x:c r="F93" s="4" t="n">
        <x:v>406</x:v>
      </x:c>
      <x:c r="G93" s="5" t="str">
        <x:v>1 croissant, mini</x:v>
      </x:c>
      <x:c r="H93" s="4" t="n">
        <x:v>28</x:v>
      </x:c>
      <x:c r="I93" s="5" t="str">
        <x:v>1 croissant, small</x:v>
      </x:c>
      <x:c r="J93" s="4" t="n">
        <x:v>42</x:v>
      </x:c>
      <x:c r="K93" s="5" t="str">
        <x:v>1 croissant, medium</x:v>
      </x:c>
      <x:c r="L93" s="4" t="n">
        <x:v>57</x:v>
      </x:c>
    </x:row>
    <x:row r="94" ht="33" customHeight="1">
      <x:c r="A94" s="14" t="n">
        <x:v>93</x:v>
      </x:c>
      <x:c r="B94" s="15" t="str">
        <x:v>Butter cookies / biscuits, commercial</x:v>
      </x:c>
      <x:c r="C94" s="16" t="n">
        <x:v>6.1</x:v>
      </x:c>
      <x:c r="D94" s="16" t="n">
        <x:v>68.9</x:v>
      </x:c>
      <x:c r="E94" s="16" t="n">
        <x:v>18.8</x:v>
      </x:c>
      <x:c r="F94" s="17" t="n">
        <x:v>467</x:v>
      </x:c>
      <x:c r="G94" s="15" t="str">
        <x:v>1 cookie</x:v>
      </x:c>
      <x:c r="H94" s="17" t="n">
        <x:v>5</x:v>
      </x:c>
      <x:c r="I94" s="15"/>
      <x:c r="J94" s="17"/>
      <x:c r="K94" s="15"/>
      <x:c r="L94" s="17"/>
    </x:row>
    <x:row r="95" ht="33" customHeight="1">
      <x:c r="A95" s="2" t="n">
        <x:v>94</x:v>
      </x:c>
      <x:c r="B95" s="5" t="str">
        <x:v>Shortbread cookies / biscuits, plain</x:v>
      </x:c>
      <x:c r="C95" s="3" t="n">
        <x:v>5.37</x:v>
      </x:c>
      <x:c r="D95" s="3" t="n">
        <x:v>63.78</x:v>
      </x:c>
      <x:c r="E95" s="3" t="n">
        <x:v>26.22</x:v>
      </x:c>
      <x:c r="F95" s="4" t="n">
        <x:v>514</x:v>
      </x:c>
      <x:c r="G95" s="5" t="str">
        <x:v>1 cookie</x:v>
      </x:c>
      <x:c r="H95" s="4" t="n">
        <x:v>11.8</x:v>
      </x:c>
      <x:c r="I95" s="5"/>
      <x:c r="J95" s="4"/>
      <x:c r="K95" s="5"/>
      <x:c r="L95" s="4"/>
    </x:row>
    <x:row r="96" ht="48" customHeight="1">
      <x:c r="A96" s="14" t="n">
        <x:v>95</x:v>
      </x:c>
      <x:c r="B96" s="15" t="str">
        <x:v>Chocolate-chip cookies, higher-fat commercial recipe</x:v>
      </x:c>
      <x:c r="C96" s="16" t="n">
        <x:v>5.1</x:v>
      </x:c>
      <x:c r="D96" s="16" t="n">
        <x:v>65.36</x:v>
      </x:c>
      <x:c r="E96" s="16" t="n">
        <x:v>24.72</x:v>
      </x:c>
      <x:c r="F96" s="17" t="n">
        <x:v>492</x:v>
      </x:c>
      <x:c r="G96" s="15" t="str">
        <x:v>1 cookie</x:v>
      </x:c>
      <x:c r="H96" s="17" t="n">
        <x:v>12.9</x:v>
      </x:c>
      <x:c r="I96" s="15" t="str">
        <x:v>1 cookie (average weight of 1 cookie, variety of brands)</x:v>
      </x:c>
      <x:c r="J96" s="17" t="n">
        <x:v>12.2</x:v>
      </x:c>
      <x:c r="K96" s="15" t="str">
        <x:v>1 cookie, big (3-1/2" - 4" dia) (include Grandma brand)</x:v>
      </x:c>
      <x:c r="L96" s="17" t="n">
        <x:v>40</x:v>
      </x:c>
    </x:row>
    <x:row r="97" ht="33" customHeight="1">
      <x:c r="A97" s="2" t="n">
        <x:v>96</x:v>
      </x:c>
      <x:c r="B97" s="5" t="str">
        <x:v>Vanilla ice cream, regular</x:v>
      </x:c>
      <x:c r="C97" s="3" t="n">
        <x:v>3.5</x:v>
      </x:c>
      <x:c r="D97" s="3" t="n">
        <x:v>23.6</x:v>
      </x:c>
      <x:c r="E97" s="3" t="n">
        <x:v>11</x:v>
      </x:c>
      <x:c r="F97" s="4" t="n">
        <x:v>207</x:v>
      </x:c>
      <x:c r="G97" s="5" t="str">
        <x:v>1 serving 1/2 cup</x:v>
      </x:c>
      <x:c r="H97" s="4" t="n">
        <x:v>66</x:v>
      </x:c>
      <x:c r="I97" s="5"/>
      <x:c r="J97" s="4"/>
      <x:c r="K97" s="5"/>
      <x:c r="L97" s="4"/>
    </x:row>
    <x:row r="98" ht="33" customHeight="1">
      <x:c r="A98" s="14" t="n">
        <x:v>97</x:v>
      </x:c>
      <x:c r="B98" s="15" t="str">
        <x:v>Chocolate ice cream, regular</x:v>
      </x:c>
      <x:c r="C98" s="16" t="n">
        <x:v>3.8</x:v>
      </x:c>
      <x:c r="D98" s="16" t="n">
        <x:v>28.2</x:v>
      </x:c>
      <x:c r="E98" s="16" t="n">
        <x:v>11</x:v>
      </x:c>
      <x:c r="F98" s="17" t="n">
        <x:v>216</x:v>
      </x:c>
      <x:c r="G98" s="15" t="str">
        <x:v>0.5 cup (4 fl oz)</x:v>
      </x:c>
      <x:c r="H98" s="17" t="n">
        <x:v>66</x:v>
      </x:c>
      <x:c r="I98" s="15" t="str">
        <x:v>1 individual (3.5 fl oz)</x:v>
      </x:c>
      <x:c r="J98" s="17" t="n">
        <x:v>58</x:v>
      </x:c>
      <x:c r="K98" s="15"/>
      <x:c r="L98" s="17"/>
    </x:row>
    <x:row r="99" ht="33" customHeight="1">
      <x:c r="A99" s="2" t="n">
        <x:v>98</x:v>
      </x:c>
      <x:c r="B99" s="5" t="str">
        <x:v>Peanut brittle, recipe reference for peanut chikki</x:v>
      </x:c>
      <x:c r="C99" s="3" t="n">
        <x:v>7.57</x:v>
      </x:c>
      <x:c r="D99" s="3" t="n">
        <x:v>71.24</x:v>
      </x:c>
      <x:c r="E99" s="3" t="n">
        <x:v>18.98</x:v>
      </x:c>
      <x:c r="F99" s="4" t="n">
        <x:v>486</x:v>
      </x:c>
      <x:c r="G99" s="5"/>
      <x:c r="H99" s="4"/>
      <x:c r="I99" s="5"/>
      <x:c r="J99" s="4"/>
      <x:c r="K99" s="5"/>
      <x:c r="L99" s="4"/>
    </x:row>
    <x:row r="100" ht="33" customHeight="1">
      <x:c r="A100" s="14" t="n">
        <x:v>99</x:v>
      </x:c>
      <x:c r="B100" s="15" t="str">
        <x:v>Sesame crunch, reference for til brittle</x:v>
      </x:c>
      <x:c r="C100" s="16" t="n">
        <x:v>11.6</x:v>
      </x:c>
      <x:c r="D100" s="16" t="n">
        <x:v>50.3</x:v>
      </x:c>
      <x:c r="E100" s="16" t="n">
        <x:v>33.3</x:v>
      </x:c>
      <x:c r="F100" s="17" t="n">
        <x:v>516</x:v>
      </x:c>
      <x:c r="G100" s="15" t="str">
        <x:v>1 piece</x:v>
      </x:c>
      <x:c r="H100" s="17" t="n">
        <x:v>1.8</x:v>
      </x:c>
      <x:c r="I100" s="15" t="str">
        <x:v>20 pieces</x:v>
      </x:c>
      <x:c r="J100" s="17" t="n">
        <x:v>35</x:v>
      </x:c>
      <x:c r="K100" s="15"/>
      <x:c r="L100" s="17"/>
    </x:row>
    <x:row r="101" ht="33" customHeight="1">
      <x:c r="A101" s="2" t="n">
        <x:v>100</x:v>
      </x:c>
      <x:c r="B101" s="5" t="str">
        <x:v>Whole-wheat paratha, commercial, frozen</x:v>
      </x:c>
      <x:c r="C101" s="3" t="n">
        <x:v>6.36</x:v>
      </x:c>
      <x:c r="D101" s="3" t="n">
        <x:v>45.35</x:v>
      </x:c>
      <x:c r="E101" s="3" t="n">
        <x:v>13.2</x:v>
      </x:c>
      <x:c r="F101" s="4" t="n">
        <x:v>326</x:v>
      </x:c>
      <x:c r="G101" s="5" t="str">
        <x:v>1 piece</x:v>
      </x:c>
      <x:c r="H101" s="4" t="n">
        <x:v>79</x:v>
      </x:c>
      <x:c r="I101" s="5"/>
      <x:c r="J101" s="4"/>
      <x:c r="K101" s="5"/>
      <x:c r="L101" s="4"/>
    </x:row>
  </x:sheetData>
  <x:pageMargins left="0.7" right="0.7" top="0.75" bottom="0.75" header="0.3" footer="0.3"/>
  <x:tableParts count="1">
    <x:tablePart xmlns:r="http://schemas.openxmlformats.org/officeDocument/2006/relationships" r:id="Rbd50aa34882341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5" topLeftCell="D16" activePane="bottomRight" state="frozen"/>
    </x:sheetView>
  </x:sheetViews>
  <x:sheetFormatPr defaultRowHeight="15"/>
  <x:cols>
    <x:col min="1" max="1" width="25" hidden="0" customWidth="1"/>
    <x:col min="2" max="2" width="8" hidden="0" customWidth="1"/>
    <x:col min="3" max="3" width="60" hidden="0" customWidth="1"/>
    <x:col min="4" max="4" width="24" hidden="0" customWidth="1"/>
    <x:col min="5" max="5" width="15" hidden="0" customWidth="1"/>
    <x:col min="6" max="6" width="7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68" hidden="0" customWidth="1"/>
    <x:col min="14" max="14" width="60" hidden="0" customWidth="1"/>
    <x:col min="15" max="15" width="60" hidden="0" customWidth="1"/>
    <x:col min="16" max="16" width="60" hidden="0" customWidth="1"/>
  </x:cols>
  <x:sheetData>
    <x:row r="1" ht="24" customHeight="1">
      <x:c r="A1" s="22" t="str">
        <x:v>Reference and usage notes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3" t="str">
        <x:v>Scope</x:v>
      </x:c>
      <x:c r="B2" s="2" t="str">
        <x:v>100 carbohydrate entries and 100 fat entries for an India-focused tracker. An editorial selection of foods eaten or sold in India, including regional and imported foods.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3" t="str">
        <x:v>Entries</x:v>
      </x:c>
      <x:c r="B3" s="2" t="str">
        <x:v>Raw/cooked forms and distinct varieties are separate records. This is not a surveyed popularity ranking or a list of 200 different ingredients.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23" t="str">
        <x:v>Units</x:v>
      </x:c>
      <x:c r="B4" s="2" t="str">
        <x:v>Protein, carbs and fat: grams per 100 g edible food. Calories: kcal per 100 g. Serving weights: grams, including for liquids.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23" t="str">
        <x:v>Carbohydrate</x:v>
      </x:c>
      <x:c r="B5" s="2" t="str">
        <x:v>Total carbohydrate including fibre. IFCT: available carbohydrate + reported dietary fibre. USDA: carbohydrate by difference. These analytical methods differ.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3" t="str">
        <x:v>Food state</x:v>
      </x:c>
      <x:c r="B6" s="2" t="str">
        <x:v>Match raw, dry, cooked or frozen states to the weighed food. Cooked pulses are plain boiled seeds. Log oil, sauces and other recipe ingredients separately.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23" t="str">
        <x:v>Measures</x:v>
      </x:c>
      <x:c r="B7" s="2" t="str">
        <x:v>Only source-recorded household measures are populated. Blanks mean no verified weight. Cups, pieces and portions follow the source and can vary in practice.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3" t="str">
        <x:v>Selection</x:v>
      </x:c>
      <x:c r="B8" s="2" t="str">
        <x:v>Foods can contribute to both macros and appear on both sheets. Fat entries include mixed foods, snacks and sweets, not just oils; inclusion is not a health recommendation.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3" t="str">
        <x:v>Generic recipes</x:v>
      </x:c>
      <x:c r="B9" s="2" t="str">
        <x:v>USDA profiles can differ from Indian brands and recipes. Commercial roti, paratha, bread, biscuits and dairy entries require label or recipe overrides when available.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3" t="str">
        <x:v>Analogues</x:v>
      </x:c>
      <x:c r="B10" s="2" t="str">
        <x:v>Anhydrous butter oil is the explicit ghee reference; peanut brittle and sesame crunch are recipe analogues. Atlantic fish are not substitutes for Indian species.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3" t="str">
        <x:v>IFCT</x:v>
      </x:c>
      <x:c r="B11" s="2" t="str">
        <x:v>ICMR-NIN Indian Food Composition Tables 2017, original Table 1 PDF. Selected numbers checked against the original publication; record codes and PDF pages below.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3" t="str">
        <x:v>USDA</x:v>
      </x:c>
      <x:c r="B12" s="2" t="str">
        <x:v>USDA Standard Reference Release 28 (2015), nutrients and weight records. Downloaded database mirror: https://github.com/alyssaq/usda-sqlite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3" t="str">
        <x:v>Conversions</x:v>
      </x:c>
      <x:c r="B13" s="2" t="str">
        <x:v>IFCT calories = source kJ / 4.184. Values need not equal 4P + 4C + 9F because fibre and source energy factors differ. Blank IFCT fibre is treated as zero added fibre.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3" t="str">
        <x:v>Retrieved</x:v>
      </x:c>
      <x:c r="B14" s="2" t="str">
        <x:v>2026-09-19. All 200 records retain source IDs and original values below. Serials restart at 1 on each food sheet; use food_group + slno. to join sources.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2" customHeight="1">
      <x:c r="A15" s="13" t="str">
        <x:v>food_group</x:v>
      </x:c>
      <x:c r="B15" s="13" t="str">
        <x:v>slno.</x:v>
      </x:c>
      <x:c r="C15" s="13" t="str">
        <x:v>food</x:v>
      </x:c>
      <x:c r="D15" s="13" t="str">
        <x:v>reference</x:v>
      </x:c>
      <x:c r="E15" s="13" t="str">
        <x:v>record_id</x:v>
      </x:c>
      <x:c r="F15" s="13" t="str">
        <x:v>original_food_description</x:v>
      </x:c>
      <x:c r="G15" s="13" t="str">
        <x:v>protein_g</x:v>
      </x:c>
      <x:c r="H15" s="13" t="str">
        <x:v>source_carbs_g</x:v>
      </x:c>
      <x:c r="I15" s="13" t="str">
        <x:v>fat_g</x:v>
      </x:c>
      <x:c r="J15" s="13" t="str">
        <x:v>fibre_g</x:v>
      </x:c>
      <x:c r="K15" s="13" t="str">
        <x:v>source_energy</x:v>
      </x:c>
      <x:c r="L15" s="13" t="str">
        <x:v>energy_unit</x:v>
      </x:c>
      <x:c r="M15" s="13" t="str">
        <x:v>reference_url</x:v>
      </x:c>
      <x:c r="N15" s="13" t="str">
        <x:v>record_location</x:v>
      </x:c>
      <x:c r="O15" s="13" t="str">
        <x:v>nutrition_basis</x:v>
      </x:c>
      <x:c r="P15" s="13" t="str">
        <x:v>serving_basis</x:v>
      </x:c>
    </x:row>
    <x:row r="16" ht="64" customHeight="1">
      <x:c r="A16" s="7" t="str">
        <x:v>Carbohydrate Sources</x:v>
      </x:c>
      <x:c r="B16" s="7" t="n">
        <x:v>1</x:v>
      </x:c>
      <x:c r="C16" s="7" t="str">
        <x:v>Amaranth / rajgira, pale brown grain, dry</x:v>
      </x:c>
      <x:c r="D16" s="7" t="str">
        <x:v>ICMR-NIN IFCT 2017</x:v>
      </x:c>
      <x:c r="E16" s="7" t="str">
        <x:v>A002</x:v>
      </x:c>
      <x:c r="F16" s="7" t="str">
        <x:v>Amaranth seed, pale brown</x:v>
      </x:c>
      <x:c r="G16" s="26" t="n">
        <x:v>13.27</x:v>
      </x:c>
      <x:c r="H16" s="26" t="n">
        <x:v>61.46</x:v>
      </x:c>
      <x:c r="I16" s="26" t="n">
        <x:v>5.56</x:v>
      </x:c>
      <x:c r="J16" s="26" t="n">
        <x:v>7.47</x:v>
      </x:c>
      <x:c r="K16" s="26" t="n">
        <x:v>1489</x:v>
      </x:c>
      <x:c r="L16" s="7" t="str">
        <x:v>kJ</x:v>
      </x:c>
      <x:c r="M16" s="7" t="str">
        <x:v>https://www.nin.res.in/ebooks/IFCT2017.pdf#page=41</x:v>
      </x:c>
      <x:c r="N16" s="7" t="str">
        <x:v>Table 1; PDF page 41</x:v>
      </x:c>
      <x:c r="O16" s="7" t="str">
        <x:v>Available carbs + fibre; energy / 4.184. Original PDF values.</x:v>
      </x:c>
      <x:c r="P16" s="7" t="str">
        <x:v>No verified household weight. Use edible grams.</x:v>
      </x:c>
    </x:row>
    <x:row r="17" ht="64" customHeight="1">
      <x:c r="A17" s="5" t="str">
        <x:v>Carbohydrate Sources</x:v>
      </x:c>
      <x:c r="B17" s="5" t="n">
        <x:v>2</x:v>
      </x:c>
      <x:c r="C17" s="5" t="str">
        <x:v>Bajra / pearl millet, grain, dry</x:v>
      </x:c>
      <x:c r="D17" s="5" t="str">
        <x:v>ICMR-NIN IFCT 2017</x:v>
      </x:c>
      <x:c r="E17" s="5" t="str">
        <x:v>A003</x:v>
      </x:c>
      <x:c r="F17" s="5" t="str">
        <x:v>Bajra</x:v>
      </x:c>
      <x:c r="G17" s="24" t="n">
        <x:v>10.96</x:v>
      </x:c>
      <x:c r="H17" s="24" t="n">
        <x:v>61.78</x:v>
      </x:c>
      <x:c r="I17" s="24" t="n">
        <x:v>5.43</x:v>
      </x:c>
      <x:c r="J17" s="24" t="n">
        <x:v>11.49</x:v>
      </x:c>
      <x:c r="K17" s="24" t="n">
        <x:v>1456</x:v>
      </x:c>
      <x:c r="L17" s="5" t="str">
        <x:v>kJ</x:v>
      </x:c>
      <x:c r="M17" s="5" t="str">
        <x:v>https://www.nin.res.in/ebooks/IFCT2017.pdf#page=41</x:v>
      </x:c>
      <x:c r="N17" s="5" t="str">
        <x:v>Table 1; PDF page 41</x:v>
      </x:c>
      <x:c r="O17" s="5" t="str">
        <x:v>Available carbs + fibre; energy / 4.184. Original PDF values.</x:v>
      </x:c>
      <x:c r="P17" s="5" t="str">
        <x:v>No verified household weight. Use edible grams.</x:v>
      </x:c>
    </x:row>
    <x:row r="18" ht="64" customHeight="1">
      <x:c r="A18" s="7" t="str">
        <x:v>Carbohydrate Sources</x:v>
      </x:c>
      <x:c r="B18" s="7" t="n">
        <x:v>3</x:v>
      </x:c>
      <x:c r="C18" s="7" t="str">
        <x:v>Barley / jau, grain, dry</x:v>
      </x:c>
      <x:c r="D18" s="7" t="str">
        <x:v>ICMR-NIN IFCT 2017</x:v>
      </x:c>
      <x:c r="E18" s="7" t="str">
        <x:v>A004</x:v>
      </x:c>
      <x:c r="F18" s="7" t="str">
        <x:v>Barley</x:v>
      </x:c>
      <x:c r="G18" s="26" t="n">
        <x:v>10.94</x:v>
      </x:c>
      <x:c r="H18" s="26" t="n">
        <x:v>61.29</x:v>
      </x:c>
      <x:c r="I18" s="26" t="n">
        <x:v>1.3</x:v>
      </x:c>
      <x:c r="J18" s="26" t="n">
        <x:v>15.64</x:v>
      </x:c>
      <x:c r="K18" s="26" t="n">
        <x:v>1321</x:v>
      </x:c>
      <x:c r="L18" s="7" t="str">
        <x:v>kJ</x:v>
      </x:c>
      <x:c r="M18" s="7" t="str">
        <x:v>https://www.nin.res.in/ebooks/IFCT2017.pdf#page=41</x:v>
      </x:c>
      <x:c r="N18" s="7" t="str">
        <x:v>Table 1; PDF page 41</x:v>
      </x:c>
      <x:c r="O18" s="7" t="str">
        <x:v>Available carbs + fibre; energy / 4.184. Original PDF values.</x:v>
      </x:c>
      <x:c r="P18" s="7" t="str">
        <x:v>No verified household weight. Use edible grams.</x:v>
      </x:c>
    </x:row>
    <x:row r="19" ht="64" customHeight="1">
      <x:c r="A19" s="5" t="str">
        <x:v>Carbohydrate Sources</x:v>
      </x:c>
      <x:c r="B19" s="5" t="n">
        <x:v>4</x:v>
      </x:c>
      <x:c r="C19" s="5" t="str">
        <x:v>Jowar / sorghum, grain, dry</x:v>
      </x:c>
      <x:c r="D19" s="5" t="str">
        <x:v>ICMR-NIN IFCT 2017</x:v>
      </x:c>
      <x:c r="E19" s="5" t="str">
        <x:v>A005</x:v>
      </x:c>
      <x:c r="F19" s="5" t="str">
        <x:v>Jowar</x:v>
      </x:c>
      <x:c r="G19" s="24" t="n">
        <x:v>9.97</x:v>
      </x:c>
      <x:c r="H19" s="24" t="n">
        <x:v>67.68</x:v>
      </x:c>
      <x:c r="I19" s="24" t="n">
        <x:v>1.73</x:v>
      </x:c>
      <x:c r="J19" s="24" t="n">
        <x:v>10.22</x:v>
      </x:c>
      <x:c r="K19" s="24" t="n">
        <x:v>1398</x:v>
      </x:c>
      <x:c r="L19" s="5" t="str">
        <x:v>kJ</x:v>
      </x:c>
      <x:c r="M19" s="5" t="str">
        <x:v>https://www.nin.res.in/ebooks/IFCT2017.pdf#page=41</x:v>
      </x:c>
      <x:c r="N19" s="5" t="str">
        <x:v>Table 1; PDF page 41</x:v>
      </x:c>
      <x:c r="O19" s="5" t="str">
        <x:v>Available carbs + fibre; energy / 4.184. Original PDF values.</x:v>
      </x:c>
      <x:c r="P19" s="5" t="str">
        <x:v>No verified household weight. Use edible grams.</x:v>
      </x:c>
    </x:row>
    <x:row r="20" ht="64" customHeight="1">
      <x:c r="A20" s="7" t="str">
        <x:v>Carbohydrate Sources</x:v>
      </x:c>
      <x:c r="B20" s="7" t="n">
        <x:v>5</x:v>
      </x:c>
      <x:c r="C20" s="7" t="str">
        <x:v>Maize / makai, grain, dry</x:v>
      </x:c>
      <x:c r="D20" s="7" t="str">
        <x:v>ICMR-NIN IFCT 2017</x:v>
      </x:c>
      <x:c r="E20" s="7" t="str">
        <x:v>A006</x:v>
      </x:c>
      <x:c r="F20" s="7" t="str">
        <x:v>Maize, dry</x:v>
      </x:c>
      <x:c r="G20" s="26" t="n">
        <x:v>8.8</x:v>
      </x:c>
      <x:c r="H20" s="26" t="n">
        <x:v>64.77</x:v>
      </x:c>
      <x:c r="I20" s="26" t="n">
        <x:v>3.77</x:v>
      </x:c>
      <x:c r="J20" s="26" t="n">
        <x:v>12.24</x:v>
      </x:c>
      <x:c r="K20" s="26" t="n">
        <x:v>1398</x:v>
      </x:c>
      <x:c r="L20" s="7" t="str">
        <x:v>kJ</x:v>
      </x:c>
      <x:c r="M20" s="7" t="str">
        <x:v>https://www.nin.res.in/ebooks/IFCT2017.pdf#page=41</x:v>
      </x:c>
      <x:c r="N20" s="7" t="str">
        <x:v>Table 1; PDF page 41</x:v>
      </x:c>
      <x:c r="O20" s="7" t="str">
        <x:v>Available carbs + fibre; energy / 4.184. Original PDF values.</x:v>
      </x:c>
      <x:c r="P20" s="7" t="str">
        <x:v>No verified household weight. Use edible grams.</x:v>
      </x:c>
    </x:row>
    <x:row r="21" ht="64" customHeight="1">
      <x:c r="A21" s="5" t="str">
        <x:v>Carbohydrate Sources</x:v>
      </x:c>
      <x:c r="B21" s="5" t="n">
        <x:v>6</x:v>
      </x:c>
      <x:c r="C21" s="5" t="str">
        <x:v>Sweet corn, tender, raw</x:v>
      </x:c>
      <x:c r="D21" s="5" t="str">
        <x:v>ICMR-NIN IFCT 2017</x:v>
      </x:c>
      <x:c r="E21" s="5" t="str">
        <x:v>A008</x:v>
      </x:c>
      <x:c r="F21" s="5" t="str">
        <x:v>Maize, tender, sweet</x:v>
      </x:c>
      <x:c r="G21" s="24" t="n">
        <x:v>4.16</x:v>
      </x:c>
      <x:c r="H21" s="24" t="n">
        <x:v>16.42</x:v>
      </x:c>
      <x:c r="I21" s="24" t="n">
        <x:v>1.35</x:v>
      </x:c>
      <x:c r="J21" s="24" t="n">
        <x:v>3.3</x:v>
      </x:c>
      <x:c r="K21" s="24" t="n">
        <x:v>405</x:v>
      </x:c>
      <x:c r="L21" s="5" t="str">
        <x:v>kJ</x:v>
      </x:c>
      <x:c r="M21" s="5" t="str">
        <x:v>https://www.nin.res.in/ebooks/IFCT2017.pdf#page=41</x:v>
      </x:c>
      <x:c r="N21" s="5" t="str">
        <x:v>Table 1; PDF page 41</x:v>
      </x:c>
      <x:c r="O21" s="5" t="str">
        <x:v>Available carbs + fibre; energy / 4.184. Original PDF values.</x:v>
      </x:c>
      <x:c r="P21" s="5" t="str">
        <x:v>No verified household weight. Use edible grams.</x:v>
      </x:c>
    </x:row>
    <x:row r="22" ht="64" customHeight="1">
      <x:c r="A22" s="7" t="str">
        <x:v>Carbohydrate Sources</x:v>
      </x:c>
      <x:c r="B22" s="7" t="n">
        <x:v>7</x:v>
      </x:c>
      <x:c r="C22" s="7" t="str">
        <x:v>Quinoa, grain, dry</x:v>
      </x:c>
      <x:c r="D22" s="7" t="str">
        <x:v>ICMR-NIN IFCT 2017</x:v>
      </x:c>
      <x:c r="E22" s="7" t="str">
        <x:v>A009</x:v>
      </x:c>
      <x:c r="F22" s="7" t="str">
        <x:v>Quinoa</x:v>
      </x:c>
      <x:c r="G22" s="26" t="n">
        <x:v>13.11</x:v>
      </x:c>
      <x:c r="H22" s="26" t="n">
        <x:v>53.65</x:v>
      </x:c>
      <x:c r="I22" s="26" t="n">
        <x:v>5.5</x:v>
      </x:c>
      <x:c r="J22" s="26" t="n">
        <x:v>14.66</x:v>
      </x:c>
      <x:c r="K22" s="26" t="n">
        <x:v>1374</x:v>
      </x:c>
      <x:c r="L22" s="7" t="str">
        <x:v>kJ</x:v>
      </x:c>
      <x:c r="M22" s="7" t="str">
        <x:v>https://www.nin.res.in/ebooks/IFCT2017.pdf#page=41</x:v>
      </x:c>
      <x:c r="N22" s="7" t="str">
        <x:v>Table 1; PDF page 41</x:v>
      </x:c>
      <x:c r="O22" s="7" t="str">
        <x:v>Available carbs + fibre; energy / 4.184. Original PDF values.</x:v>
      </x:c>
      <x:c r="P22" s="7" t="str">
        <x:v>No verified household weight. Use edible grams.</x:v>
      </x:c>
    </x:row>
    <x:row r="23" ht="64" customHeight="1">
      <x:c r="A23" s="5" t="str">
        <x:v>Carbohydrate Sources</x:v>
      </x:c>
      <x:c r="B23" s="5" t="n">
        <x:v>8</x:v>
      </x:c>
      <x:c r="C23" s="5" t="str">
        <x:v>Ragi / finger millet, grain, dry</x:v>
      </x:c>
      <x:c r="D23" s="5" t="str">
        <x:v>ICMR-NIN IFCT 2017</x:v>
      </x:c>
      <x:c r="E23" s="5" t="str">
        <x:v>A010</x:v>
      </x:c>
      <x:c r="F23" s="5" t="str">
        <x:v>Ragi</x:v>
      </x:c>
      <x:c r="G23" s="24" t="n">
        <x:v>7.16</x:v>
      </x:c>
      <x:c r="H23" s="24" t="n">
        <x:v>66.82</x:v>
      </x:c>
      <x:c r="I23" s="24" t="n">
        <x:v>1.92</x:v>
      </x:c>
      <x:c r="J23" s="24" t="n">
        <x:v>11.18</x:v>
      </x:c>
      <x:c r="K23" s="24" t="n">
        <x:v>1342</x:v>
      </x:c>
      <x:c r="L23" s="5" t="str">
        <x:v>kJ</x:v>
      </x:c>
      <x:c r="M23" s="5" t="str">
        <x:v>https://www.nin.res.in/ebooks/IFCT2017.pdf#page=41</x:v>
      </x:c>
      <x:c r="N23" s="5" t="str">
        <x:v>Table 1; PDF page 41</x:v>
      </x:c>
      <x:c r="O23" s="5" t="str">
        <x:v>Available carbs + fibre; energy / 4.184. Original PDF values.</x:v>
      </x:c>
      <x:c r="P23" s="5" t="str">
        <x:v>No verified household weight. Use edible grams.</x:v>
      </x:c>
    </x:row>
    <x:row r="24" ht="64" customHeight="1">
      <x:c r="A24" s="7" t="str">
        <x:v>Carbohydrate Sources</x:v>
      </x:c>
      <x:c r="B24" s="7" t="n">
        <x:v>9</x:v>
      </x:c>
      <x:c r="C24" s="7" t="str">
        <x:v>Poha / flattened rice, dry</x:v>
      </x:c>
      <x:c r="D24" s="7" t="str">
        <x:v>ICMR-NIN IFCT 2017</x:v>
      </x:c>
      <x:c r="E24" s="7" t="str">
        <x:v>A011</x:v>
      </x:c>
      <x:c r="F24" s="7" t="str">
        <x:v>Rice, flakes</x:v>
      </x:c>
      <x:c r="G24" s="26" t="n">
        <x:v>7.44</x:v>
      </x:c>
      <x:c r="H24" s="26" t="n">
        <x:v>76.75</x:v>
      </x:c>
      <x:c r="I24" s="26" t="n">
        <x:v>1.14</x:v>
      </x:c>
      <x:c r="J24" s="26" t="n">
        <x:v>3.46</x:v>
      </x:c>
      <x:c r="K24" s="26" t="n">
        <x:v>1480</x:v>
      </x:c>
      <x:c r="L24" s="7" t="str">
        <x:v>kJ</x:v>
      </x:c>
      <x:c r="M24" s="7" t="str">
        <x:v>https://www.nin.res.in/ebooks/IFCT2017.pdf#page=41</x:v>
      </x:c>
      <x:c r="N24" s="7" t="str">
        <x:v>Table 1; PDF page 41</x:v>
      </x:c>
      <x:c r="O24" s="7" t="str">
        <x:v>Available carbs + fibre; energy / 4.184. Original PDF values.</x:v>
      </x:c>
      <x:c r="P24" s="7" t="str">
        <x:v>No verified household weight. Use edible grams.</x:v>
      </x:c>
    </x:row>
    <x:row r="25" ht="64" customHeight="1">
      <x:c r="A25" s="5" t="str">
        <x:v>Carbohydrate Sources</x:v>
      </x:c>
      <x:c r="B25" s="5" t="n">
        <x:v>10</x:v>
      </x:c>
      <x:c r="C25" s="5" t="str">
        <x:v>Murmura / puffed rice, plain</x:v>
      </x:c>
      <x:c r="D25" s="5" t="str">
        <x:v>ICMR-NIN IFCT 2017</x:v>
      </x:c>
      <x:c r="E25" s="5" t="str">
        <x:v>A012</x:v>
      </x:c>
      <x:c r="F25" s="5" t="str">
        <x:v>Rice, puffed</x:v>
      </x:c>
      <x:c r="G25" s="24" t="n">
        <x:v>7.47</x:v>
      </x:c>
      <x:c r="H25" s="24" t="n">
        <x:v>77.68</x:v>
      </x:c>
      <x:c r="I25" s="24" t="n">
        <x:v>1.62</x:v>
      </x:c>
      <x:c r="J25" s="24" t="n">
        <x:v>2.56</x:v>
      </x:c>
      <x:c r="K25" s="24" t="n">
        <x:v>1514</x:v>
      </x:c>
      <x:c r="L25" s="5" t="str">
        <x:v>kJ</x:v>
      </x:c>
      <x:c r="M25" s="5" t="str">
        <x:v>https://www.nin.res.in/ebooks/IFCT2017.pdf#page=41</x:v>
      </x:c>
      <x:c r="N25" s="5" t="str">
        <x:v>Table 1; PDF page 41</x:v>
      </x:c>
      <x:c r="O25" s="5" t="str">
        <x:v>Available carbs + fibre; energy / 4.184. Original PDF values.</x:v>
      </x:c>
      <x:c r="P25" s="5" t="str">
        <x:v>No verified household weight. Use edible grams.</x:v>
      </x:c>
    </x:row>
    <x:row r="26" ht="64" customHeight="1">
      <x:c r="A26" s="7" t="str">
        <x:v>Carbohydrate Sources</x:v>
      </x:c>
      <x:c r="B26" s="7" t="n">
        <x:v>11</x:v>
      </x:c>
      <x:c r="C26" s="7" t="str">
        <x:v>Brown rice, raw, dry</x:v>
      </x:c>
      <x:c r="D26" s="7" t="str">
        <x:v>ICMR-NIN IFCT 2017</x:v>
      </x:c>
      <x:c r="E26" s="7" t="str">
        <x:v>A013</x:v>
      </x:c>
      <x:c r="F26" s="7" t="str">
        <x:v>Rice, raw, brown</x:v>
      </x:c>
      <x:c r="G26" s="26" t="n">
        <x:v>9.16</x:v>
      </x:c>
      <x:c r="H26" s="26" t="n">
        <x:v>74.8</x:v>
      </x:c>
      <x:c r="I26" s="26" t="n">
        <x:v>1.24</x:v>
      </x:c>
      <x:c r="J26" s="26" t="n">
        <x:v>4.43</x:v>
      </x:c>
      <x:c r="K26" s="26" t="n">
        <x:v>1480</x:v>
      </x:c>
      <x:c r="L26" s="7" t="str">
        <x:v>kJ</x:v>
      </x:c>
      <x:c r="M26" s="7" t="str">
        <x:v>https://www.nin.res.in/ebooks/IFCT2017.pdf#page=41</x:v>
      </x:c>
      <x:c r="N26" s="7" t="str">
        <x:v>Table 1; PDF page 41</x:v>
      </x:c>
      <x:c r="O26" s="7" t="str">
        <x:v>Available carbs + fibre; energy / 4.184. Original PDF values.</x:v>
      </x:c>
      <x:c r="P26" s="7" t="str">
        <x:v>No verified household weight. Use edible grams.</x:v>
      </x:c>
    </x:row>
    <x:row r="27" ht="64" customHeight="1">
      <x:c r="A27" s="5" t="str">
        <x:v>Carbohydrate Sources</x:v>
      </x:c>
      <x:c r="B27" s="5" t="n">
        <x:v>12</x:v>
      </x:c>
      <x:c r="C27" s="5" t="str">
        <x:v>Parboiled milled rice, dry, uncooked</x:v>
      </x:c>
      <x:c r="D27" s="5" t="str">
        <x:v>ICMR-NIN IFCT 2017</x:v>
      </x:c>
      <x:c r="E27" s="5" t="str">
        <x:v>A014</x:v>
      </x:c>
      <x:c r="F27" s="5" t="str">
        <x:v>Rice, parboiled, milled</x:v>
      </x:c>
      <x:c r="G27" s="24" t="n">
        <x:v>7.81</x:v>
      </x:c>
      <x:c r="H27" s="24" t="n">
        <x:v>77.16</x:v>
      </x:c>
      <x:c r="I27" s="24" t="n">
        <x:v>0.55</x:v>
      </x:c>
      <x:c r="J27" s="24" t="n">
        <x:v>3.74</x:v>
      </x:c>
      <x:c r="K27" s="24" t="n">
        <x:v>1471</x:v>
      </x:c>
      <x:c r="L27" s="5" t="str">
        <x:v>kJ</x:v>
      </x:c>
      <x:c r="M27" s="5" t="str">
        <x:v>https://www.nin.res.in/ebooks/IFCT2017.pdf#page=41</x:v>
      </x:c>
      <x:c r="N27" s="5" t="str">
        <x:v>Table 1; PDF page 41</x:v>
      </x:c>
      <x:c r="O27" s="5" t="str">
        <x:v>Available carbs + fibre; energy / 4.184. Original PDF values.</x:v>
      </x:c>
      <x:c r="P27" s="5" t="str">
        <x:v>No verified household weight. Use edible grams.</x:v>
      </x:c>
    </x:row>
    <x:row r="28" ht="64" customHeight="1">
      <x:c r="A28" s="7" t="str">
        <x:v>Carbohydrate Sources</x:v>
      </x:c>
      <x:c r="B28" s="7" t="n">
        <x:v>13</x:v>
      </x:c>
      <x:c r="C28" s="7" t="str">
        <x:v>White milled rice, raw, dry</x:v>
      </x:c>
      <x:c r="D28" s="7" t="str">
        <x:v>ICMR-NIN IFCT 2017</x:v>
      </x:c>
      <x:c r="E28" s="7" t="str">
        <x:v>A015</x:v>
      </x:c>
      <x:c r="F28" s="7" t="str">
        <x:v>Rice, raw, milled</x:v>
      </x:c>
      <x:c r="G28" s="26" t="n">
        <x:v>7.94</x:v>
      </x:c>
      <x:c r="H28" s="26" t="n">
        <x:v>78.24</x:v>
      </x:c>
      <x:c r="I28" s="26" t="n">
        <x:v>0.52</x:v>
      </x:c>
      <x:c r="J28" s="26" t="n">
        <x:v>2.81</x:v>
      </x:c>
      <x:c r="K28" s="26" t="n">
        <x:v>1491</x:v>
      </x:c>
      <x:c r="L28" s="7" t="str">
        <x:v>kJ</x:v>
      </x:c>
      <x:c r="M28" s="7" t="str">
        <x:v>https://www.nin.res.in/ebooks/IFCT2017.pdf#page=41</x:v>
      </x:c>
      <x:c r="N28" s="7" t="str">
        <x:v>Table 1; PDF page 41</x:v>
      </x:c>
      <x:c r="O28" s="7" t="str">
        <x:v>Available carbs + fibre; energy / 4.184. Original PDF values.</x:v>
      </x:c>
      <x:c r="P28" s="7" t="str">
        <x:v>No verified household weight. Use edible grams.</x:v>
      </x:c>
    </x:row>
    <x:row r="29" ht="64" customHeight="1">
      <x:c r="A29" s="5" t="str">
        <x:v>Carbohydrate Sources</x:v>
      </x:c>
      <x:c r="B29" s="5" t="n">
        <x:v>14</x:v>
      </x:c>
      <x:c r="C29" s="5" t="str">
        <x:v>Little millet / samai, grain, dry</x:v>
      </x:c>
      <x:c r="D29" s="5" t="str">
        <x:v>ICMR-NIN IFCT 2017</x:v>
      </x:c>
      <x:c r="E29" s="5" t="str">
        <x:v>A016</x:v>
      </x:c>
      <x:c r="F29" s="5" t="str">
        <x:v>Samai</x:v>
      </x:c>
      <x:c r="G29" s="24" t="n">
        <x:v>10.13</x:v>
      </x:c>
      <x:c r="H29" s="24" t="n">
        <x:v>65.55</x:v>
      </x:c>
      <x:c r="I29" s="24" t="n">
        <x:v>3.89</x:v>
      </x:c>
      <x:c r="J29" s="24" t="n">
        <x:v>7.72</x:v>
      </x:c>
      <x:c r="K29" s="24" t="n">
        <x:v>1449</x:v>
      </x:c>
      <x:c r="L29" s="5" t="str">
        <x:v>kJ</x:v>
      </x:c>
      <x:c r="M29" s="5" t="str">
        <x:v>https://www.nin.res.in/ebooks/IFCT2017.pdf#page=41</x:v>
      </x:c>
      <x:c r="N29" s="5" t="str">
        <x:v>Table 1; PDF page 41</x:v>
      </x:c>
      <x:c r="O29" s="5" t="str">
        <x:v>Available carbs + fibre; energy / 4.184. Original PDF values.</x:v>
      </x:c>
      <x:c r="P29" s="5" t="str">
        <x:v>No verified household weight. Use edible grams.</x:v>
      </x:c>
    </x:row>
    <x:row r="30" ht="64" customHeight="1">
      <x:c r="A30" s="7" t="str">
        <x:v>Carbohydrate Sources</x:v>
      </x:c>
      <x:c r="B30" s="7" t="n">
        <x:v>15</x:v>
      </x:c>
      <x:c r="C30" s="7" t="str">
        <x:v>Kodo millet / varagu, grain, dry</x:v>
      </x:c>
      <x:c r="D30" s="7" t="str">
        <x:v>ICMR-NIN IFCT 2017</x:v>
      </x:c>
      <x:c r="E30" s="7" t="str">
        <x:v>A017</x:v>
      </x:c>
      <x:c r="F30" s="7" t="str">
        <x:v>Varagu</x:v>
      </x:c>
      <x:c r="G30" s="26" t="n">
        <x:v>8.92</x:v>
      </x:c>
      <x:c r="H30" s="26" t="n">
        <x:v>66.19</x:v>
      </x:c>
      <x:c r="I30" s="26" t="n">
        <x:v>2.55</x:v>
      </x:c>
      <x:c r="J30" s="26" t="n">
        <x:v>6.39</x:v>
      </x:c>
      <x:c r="K30" s="26" t="n">
        <x:v>1388</x:v>
      </x:c>
      <x:c r="L30" s="7" t="str">
        <x:v>kJ</x:v>
      </x:c>
      <x:c r="M30" s="7" t="str">
        <x:v>https://www.nin.res.in/ebooks/IFCT2017.pdf#page=41</x:v>
      </x:c>
      <x:c r="N30" s="7" t="str">
        <x:v>Table 1; PDF page 41</x:v>
      </x:c>
      <x:c r="O30" s="7" t="str">
        <x:v>Available carbs + fibre; energy / 4.184. Original PDF values.</x:v>
      </x:c>
      <x:c r="P30" s="7" t="str">
        <x:v>No verified household weight. Use edible grams.</x:v>
      </x:c>
    </x:row>
    <x:row r="31" ht="64" customHeight="1">
      <x:c r="A31" s="5" t="str">
        <x:v>Carbohydrate Sources</x:v>
      </x:c>
      <x:c r="B31" s="5" t="n">
        <x:v>16</x:v>
      </x:c>
      <x:c r="C31" s="5" t="str">
        <x:v>Maida / refined wheat flour, dry</x:v>
      </x:c>
      <x:c r="D31" s="5" t="str">
        <x:v>ICMR-NIN IFCT 2017</x:v>
      </x:c>
      <x:c r="E31" s="5" t="str">
        <x:v>A018</x:v>
      </x:c>
      <x:c r="F31" s="5" t="str">
        <x:v>Wheat flour, refined</x:v>
      </x:c>
      <x:c r="G31" s="24" t="n">
        <x:v>10.36</x:v>
      </x:c>
      <x:c r="H31" s="24" t="n">
        <x:v>74.27</x:v>
      </x:c>
      <x:c r="I31" s="24" t="n">
        <x:v>0.76</x:v>
      </x:c>
      <x:c r="J31" s="24" t="n">
        <x:v>2.76</x:v>
      </x:c>
      <x:c r="K31" s="24" t="n">
        <x:v>1472</x:v>
      </x:c>
      <x:c r="L31" s="5" t="str">
        <x:v>kJ</x:v>
      </x:c>
      <x:c r="M31" s="5" t="str">
        <x:v>https://www.nin.res.in/ebooks/IFCT2017.pdf#page=41</x:v>
      </x:c>
      <x:c r="N31" s="5" t="str">
        <x:v>Table 1; PDF page 41</x:v>
      </x:c>
      <x:c r="O31" s="5" t="str">
        <x:v>Available carbs + fibre; energy / 4.184. Original PDF values.</x:v>
      </x:c>
      <x:c r="P31" s="5" t="str">
        <x:v>No verified household weight. Use edible grams.</x:v>
      </x:c>
    </x:row>
    <x:row r="32" ht="64" customHeight="1">
      <x:c r="A32" s="7" t="str">
        <x:v>Carbohydrate Sources</x:v>
      </x:c>
      <x:c r="B32" s="7" t="n">
        <x:v>17</x:v>
      </x:c>
      <x:c r="C32" s="7" t="str">
        <x:v>Whole wheat atta, dry</x:v>
      </x:c>
      <x:c r="D32" s="7" t="str">
        <x:v>ICMR-NIN IFCT 2017</x:v>
      </x:c>
      <x:c r="E32" s="7" t="str">
        <x:v>A019</x:v>
      </x:c>
      <x:c r="F32" s="7" t="str">
        <x:v>Wheat flour, atta</x:v>
      </x:c>
      <x:c r="G32" s="26" t="n">
        <x:v>10.57</x:v>
      </x:c>
      <x:c r="H32" s="26" t="n">
        <x:v>64.17</x:v>
      </x:c>
      <x:c r="I32" s="26" t="n">
        <x:v>1.53</x:v>
      </x:c>
      <x:c r="J32" s="26" t="n">
        <x:v>11.36</x:v>
      </x:c>
      <x:c r="K32" s="26" t="n">
        <x:v>1340</x:v>
      </x:c>
      <x:c r="L32" s="7" t="str">
        <x:v>kJ</x:v>
      </x:c>
      <x:c r="M32" s="7" t="str">
        <x:v>https://www.nin.res.in/ebooks/IFCT2017.pdf#page=42</x:v>
      </x:c>
      <x:c r="N32" s="7" t="str">
        <x:v>Table 1; PDF page 42</x:v>
      </x:c>
      <x:c r="O32" s="7" t="str">
        <x:v>Available carbs + fibre; energy / 4.184. Original PDF values.</x:v>
      </x:c>
      <x:c r="P32" s="7" t="str">
        <x:v>No verified household weight. Use edible grams.</x:v>
      </x:c>
    </x:row>
    <x:row r="33" ht="64" customHeight="1">
      <x:c r="A33" s="5" t="str">
        <x:v>Carbohydrate Sources</x:v>
      </x:c>
      <x:c r="B33" s="5" t="n">
        <x:v>18</x:v>
      </x:c>
      <x:c r="C33" s="5" t="str">
        <x:v>Daliya / bulgur wheat, dry</x:v>
      </x:c>
      <x:c r="D33" s="5" t="str">
        <x:v>ICMR-NIN IFCT 2017</x:v>
      </x:c>
      <x:c r="E33" s="5" t="str">
        <x:v>A021</x:v>
      </x:c>
      <x:c r="F33" s="5" t="str">
        <x:v>Wheat, bulgur</x:v>
      </x:c>
      <x:c r="G33" s="24" t="n">
        <x:v>10.84</x:v>
      </x:c>
      <x:c r="H33" s="24" t="n">
        <x:v>69.06</x:v>
      </x:c>
      <x:c r="I33" s="24" t="n">
        <x:v>1.45</x:v>
      </x:c>
      <x:c r="J33" s="24" t="n">
        <x:v>8.81</x:v>
      </x:c>
      <x:c r="K33" s="24" t="n">
        <x:v>1430</x:v>
      </x:c>
      <x:c r="L33" s="5" t="str">
        <x:v>kJ</x:v>
      </x:c>
      <x:c r="M33" s="5" t="str">
        <x:v>https://www.nin.res.in/ebooks/IFCT2017.pdf#page=42</x:v>
      </x:c>
      <x:c r="N33" s="5" t="str">
        <x:v>Table 1; PDF page 42</x:v>
      </x:c>
      <x:c r="O33" s="5" t="str">
        <x:v>Available carbs + fibre; energy / 4.184. Original PDF values.</x:v>
      </x:c>
      <x:c r="P33" s="5" t="str">
        <x:v>No verified household weight. Use edible grams.</x:v>
      </x:c>
    </x:row>
    <x:row r="34" ht="64" customHeight="1">
      <x:c r="A34" s="7" t="str">
        <x:v>Carbohydrate Sources</x:v>
      </x:c>
      <x:c r="B34" s="7" t="n">
        <x:v>19</x:v>
      </x:c>
      <x:c r="C34" s="7" t="str">
        <x:v>Sooji / semolina, dry</x:v>
      </x:c>
      <x:c r="D34" s="7" t="str">
        <x:v>ICMR-NIN IFCT 2017</x:v>
      </x:c>
      <x:c r="E34" s="7" t="str">
        <x:v>A022</x:v>
      </x:c>
      <x:c r="F34" s="7" t="str">
        <x:v>Wheat, semolina</x:v>
      </x:c>
      <x:c r="G34" s="26" t="n">
        <x:v>11.38</x:v>
      </x:c>
      <x:c r="H34" s="26" t="n">
        <x:v>68.43</x:v>
      </x:c>
      <x:c r="I34" s="26" t="n">
        <x:v>0.74</x:v>
      </x:c>
      <x:c r="J34" s="26" t="n">
        <x:v>9.72</x:v>
      </x:c>
      <x:c r="K34" s="26" t="n">
        <x:v>1396</x:v>
      </x:c>
      <x:c r="L34" s="7" t="str">
        <x:v>kJ</x:v>
      </x:c>
      <x:c r="M34" s="7" t="str">
        <x:v>https://www.nin.res.in/ebooks/IFCT2017.pdf#page=42</x:v>
      </x:c>
      <x:c r="N34" s="7" t="str">
        <x:v>Table 1; PDF page 42</x:v>
      </x:c>
      <x:c r="O34" s="7" t="str">
        <x:v>Available carbs + fibre; energy / 4.184. Original PDF values.</x:v>
      </x:c>
      <x:c r="P34" s="7" t="str">
        <x:v>No verified household weight. Use edible grams.</x:v>
      </x:c>
    </x:row>
    <x:row r="35" ht="64" customHeight="1">
      <x:c r="A35" s="5" t="str">
        <x:v>Carbohydrate Sources</x:v>
      </x:c>
      <x:c r="B35" s="5" t="n">
        <x:v>20</x:v>
      </x:c>
      <x:c r="C35" s="5" t="str">
        <x:v>Wheat vermicelli / seviyan, dry</x:v>
      </x:c>
      <x:c r="D35" s="5" t="str">
        <x:v>ICMR-NIN IFCT 2017</x:v>
      </x:c>
      <x:c r="E35" s="5" t="str">
        <x:v>A023</x:v>
      </x:c>
      <x:c r="F35" s="5" t="str">
        <x:v>Wheat, vermicelli</x:v>
      </x:c>
      <x:c r="G35" s="24" t="n">
        <x:v>9.7</x:v>
      </x:c>
      <x:c r="H35" s="24" t="n">
        <x:v>70.39</x:v>
      </x:c>
      <x:c r="I35" s="24" t="n">
        <x:v>0.45</x:v>
      </x:c>
      <x:c r="J35" s="24" t="n">
        <x:v>9.28</x:v>
      </x:c>
      <x:c r="K35" s="24" t="n">
        <x:v>1392</x:v>
      </x:c>
      <x:c r="L35" s="5" t="str">
        <x:v>kJ</x:v>
      </x:c>
      <x:c r="M35" s="5" t="str">
        <x:v>https://www.nin.res.in/ebooks/IFCT2017.pdf#page=42</x:v>
      </x:c>
      <x:c r="N35" s="5" t="str">
        <x:v>Table 1; PDF page 42</x:v>
      </x:c>
      <x:c r="O35" s="5" t="str">
        <x:v>Available carbs + fibre; energy / 4.184. Original PDF values.</x:v>
      </x:c>
      <x:c r="P35" s="5" t="str">
        <x:v>No verified household weight. Use edible grams.</x:v>
      </x:c>
    </x:row>
    <x:row r="36" ht="64" customHeight="1">
      <x:c r="A36" s="7" t="str">
        <x:v>Carbohydrate Sources</x:v>
      </x:c>
      <x:c r="B36" s="7" t="n">
        <x:v>21</x:v>
      </x:c>
      <x:c r="C36" s="7" t="str">
        <x:v>Chana dal, dry</x:v>
      </x:c>
      <x:c r="D36" s="7" t="str">
        <x:v>ICMR-NIN IFCT 2017</x:v>
      </x:c>
      <x:c r="E36" s="7" t="str">
        <x:v>B001</x:v>
      </x:c>
      <x:c r="F36" s="7" t="str">
        <x:v>Bengal gram, dal</x:v>
      </x:c>
      <x:c r="G36" s="26" t="n">
        <x:v>21.55</x:v>
      </x:c>
      <x:c r="H36" s="26" t="n">
        <x:v>46.72</x:v>
      </x:c>
      <x:c r="I36" s="26" t="n">
        <x:v>5.31</x:v>
      </x:c>
      <x:c r="J36" s="26" t="n">
        <x:v>15.15</x:v>
      </x:c>
      <x:c r="K36" s="26" t="n">
        <x:v>1377</x:v>
      </x:c>
      <x:c r="L36" s="7" t="str">
        <x:v>kJ</x:v>
      </x:c>
      <x:c r="M36" s="7" t="str">
        <x:v>https://www.nin.res.in/ebooks/IFCT2017.pdf#page=42</x:v>
      </x:c>
      <x:c r="N36" s="7" t="str">
        <x:v>Table 1; PDF page 42</x:v>
      </x:c>
      <x:c r="O36" s="7" t="str">
        <x:v>Available carbs + fibre; energy / 4.184. Original PDF values.</x:v>
      </x:c>
      <x:c r="P36" s="7" t="str">
        <x:v>No verified household weight. Use edible grams.</x:v>
      </x:c>
    </x:row>
    <x:row r="37" ht="64" customHeight="1">
      <x:c r="A37" s="5" t="str">
        <x:v>Carbohydrate Sources</x:v>
      </x:c>
      <x:c r="B37" s="5" t="n">
        <x:v>22</x:v>
      </x:c>
      <x:c r="C37" s="5" t="str">
        <x:v>Kala chana / whole Bengal gram, dry</x:v>
      </x:c>
      <x:c r="D37" s="5" t="str">
        <x:v>ICMR-NIN IFCT 2017</x:v>
      </x:c>
      <x:c r="E37" s="5" t="str">
        <x:v>B002</x:v>
      </x:c>
      <x:c r="F37" s="5" t="str">
        <x:v>Bengal gram, whole</x:v>
      </x:c>
      <x:c r="G37" s="24" t="n">
        <x:v>18.77</x:v>
      </x:c>
      <x:c r="H37" s="24" t="n">
        <x:v>39.56</x:v>
      </x:c>
      <x:c r="I37" s="24" t="n">
        <x:v>5.11</x:v>
      </x:c>
      <x:c r="J37" s="24" t="n">
        <x:v>25.22</x:v>
      </x:c>
      <x:c r="K37" s="24" t="n">
        <x:v>1201</x:v>
      </x:c>
      <x:c r="L37" s="5" t="str">
        <x:v>kJ</x:v>
      </x:c>
      <x:c r="M37" s="5" t="str">
        <x:v>https://www.nin.res.in/ebooks/IFCT2017.pdf#page=42</x:v>
      </x:c>
      <x:c r="N37" s="5" t="str">
        <x:v>Table 1; PDF page 42</x:v>
      </x:c>
      <x:c r="O37" s="5" t="str">
        <x:v>Available carbs + fibre; energy / 4.184. Original PDF values.</x:v>
      </x:c>
      <x:c r="P37" s="5" t="str">
        <x:v>No verified household weight. Use edible grams.</x:v>
      </x:c>
    </x:row>
    <x:row r="38" ht="64" customHeight="1">
      <x:c r="A38" s="7" t="str">
        <x:v>Carbohydrate Sources</x:v>
      </x:c>
      <x:c r="B38" s="7" t="n">
        <x:v>23</x:v>
      </x:c>
      <x:c r="C38" s="7" t="str">
        <x:v>Urad dal, dry</x:v>
      </x:c>
      <x:c r="D38" s="7" t="str">
        <x:v>ICMR-NIN IFCT 2017</x:v>
      </x:c>
      <x:c r="E38" s="7" t="str">
        <x:v>B003</x:v>
      </x:c>
      <x:c r="F38" s="7" t="str">
        <x:v>Black gram, dal</x:v>
      </x:c>
      <x:c r="G38" s="26" t="n">
        <x:v>23.06</x:v>
      </x:c>
      <x:c r="H38" s="26" t="n">
        <x:v>51</x:v>
      </x:c>
      <x:c r="I38" s="26" t="n">
        <x:v>1.69</x:v>
      </x:c>
      <x:c r="J38" s="26" t="n">
        <x:v>11.93</x:v>
      </x:c>
      <x:c r="K38" s="26" t="n">
        <x:v>1356</x:v>
      </x:c>
      <x:c r="L38" s="7" t="str">
        <x:v>kJ</x:v>
      </x:c>
      <x:c r="M38" s="7" t="str">
        <x:v>https://www.nin.res.in/ebooks/IFCT2017.pdf#page=42</x:v>
      </x:c>
      <x:c r="N38" s="7" t="str">
        <x:v>Table 1; PDF page 42</x:v>
      </x:c>
      <x:c r="O38" s="7" t="str">
        <x:v>Available carbs + fibre; energy / 4.184. Original PDF values.</x:v>
      </x:c>
      <x:c r="P38" s="7" t="str">
        <x:v>No verified household weight. Use edible grams.</x:v>
      </x:c>
    </x:row>
    <x:row r="39" ht="64" customHeight="1">
      <x:c r="A39" s="5" t="str">
        <x:v>Carbohydrate Sources</x:v>
      </x:c>
      <x:c r="B39" s="5" t="n">
        <x:v>24</x:v>
      </x:c>
      <x:c r="C39" s="5" t="str">
        <x:v>Whole urad / black gram, dry</x:v>
      </x:c>
      <x:c r="D39" s="5" t="str">
        <x:v>ICMR-NIN IFCT 2017</x:v>
      </x:c>
      <x:c r="E39" s="5" t="str">
        <x:v>B004</x:v>
      </x:c>
      <x:c r="F39" s="5" t="str">
        <x:v>Black gram, whole</x:v>
      </x:c>
      <x:c r="G39" s="24" t="n">
        <x:v>21.97</x:v>
      </x:c>
      <x:c r="H39" s="24" t="n">
        <x:v>43.99</x:v>
      </x:c>
      <x:c r="I39" s="24" t="n">
        <x:v>1.58</x:v>
      </x:c>
      <x:c r="J39" s="24" t="n">
        <x:v>20.41</x:v>
      </x:c>
      <x:c r="K39" s="24" t="n">
        <x:v>1219</x:v>
      </x:c>
      <x:c r="L39" s="5" t="str">
        <x:v>kJ</x:v>
      </x:c>
      <x:c r="M39" s="5" t="str">
        <x:v>https://www.nin.res.in/ebooks/IFCT2017.pdf#page=42</x:v>
      </x:c>
      <x:c r="N39" s="5" t="str">
        <x:v>Table 1; PDF page 42</x:v>
      </x:c>
      <x:c r="O39" s="5" t="str">
        <x:v>Available carbs + fibre; energy / 4.184. Original PDF values.</x:v>
      </x:c>
      <x:c r="P39" s="5" t="str">
        <x:v>No verified household weight. Use edible grams.</x:v>
      </x:c>
    </x:row>
    <x:row r="40" ht="64" customHeight="1">
      <x:c r="A40" s="7" t="str">
        <x:v>Carbohydrate Sources</x:v>
      </x:c>
      <x:c r="B40" s="7" t="n">
        <x:v>25</x:v>
      </x:c>
      <x:c r="C40" s="7" t="str">
        <x:v>Lobia / cowpea, white, dry</x:v>
      </x:c>
      <x:c r="D40" s="7" t="str">
        <x:v>ICMR-NIN IFCT 2017</x:v>
      </x:c>
      <x:c r="E40" s="7" t="str">
        <x:v>B006</x:v>
      </x:c>
      <x:c r="F40" s="7" t="str">
        <x:v>Cowpea, white</x:v>
      </x:c>
      <x:c r="G40" s="26" t="n">
        <x:v>21.25</x:v>
      </x:c>
      <x:c r="H40" s="26" t="n">
        <x:v>53.77</x:v>
      </x:c>
      <x:c r="I40" s="26" t="n">
        <x:v>1.14</x:v>
      </x:c>
      <x:c r="J40" s="26" t="n">
        <x:v>11.7</x:v>
      </x:c>
      <x:c r="K40" s="26" t="n">
        <x:v>1340</x:v>
      </x:c>
      <x:c r="L40" s="7" t="str">
        <x:v>kJ</x:v>
      </x:c>
      <x:c r="M40" s="7" t="str">
        <x:v>https://www.nin.res.in/ebooks/IFCT2017.pdf#page=42</x:v>
      </x:c>
      <x:c r="N40" s="7" t="str">
        <x:v>Table 1; PDF page 42</x:v>
      </x:c>
      <x:c r="O40" s="7" t="str">
        <x:v>Available carbs + fibre; energy / 4.184. Original PDF values.</x:v>
      </x:c>
      <x:c r="P40" s="7" t="str">
        <x:v>No verified household weight. Use edible grams.</x:v>
      </x:c>
    </x:row>
    <x:row r="41" ht="64" customHeight="1">
      <x:c r="A41" s="5" t="str">
        <x:v>Carbohydrate Sources</x:v>
      </x:c>
      <x:c r="B41" s="5" t="n">
        <x:v>26</x:v>
      </x:c>
      <x:c r="C41" s="5" t="str">
        <x:v>Moong dal, dry</x:v>
      </x:c>
      <x:c r="D41" s="5" t="str">
        <x:v>ICMR-NIN IFCT 2017</x:v>
      </x:c>
      <x:c r="E41" s="5" t="str">
        <x:v>B010</x:v>
      </x:c>
      <x:c r="F41" s="5" t="str">
        <x:v>Green gram, dal</x:v>
      </x:c>
      <x:c r="G41" s="24" t="n">
        <x:v>23.88</x:v>
      </x:c>
      <x:c r="H41" s="24" t="n">
        <x:v>52.59</x:v>
      </x:c>
      <x:c r="I41" s="24" t="n">
        <x:v>1.35</x:v>
      </x:c>
      <x:c r="J41" s="24" t="n">
        <x:v>9.37</x:v>
      </x:c>
      <x:c r="K41" s="24" t="n">
        <x:v>1363</x:v>
      </x:c>
      <x:c r="L41" s="5" t="str">
        <x:v>kJ</x:v>
      </x:c>
      <x:c r="M41" s="5" t="str">
        <x:v>https://www.nin.res.in/ebooks/IFCT2017.pdf#page=42</x:v>
      </x:c>
      <x:c r="N41" s="5" t="str">
        <x:v>Table 1; PDF page 42</x:v>
      </x:c>
      <x:c r="O41" s="5" t="str">
        <x:v>Available carbs + fibre; energy / 4.184. Original PDF values.</x:v>
      </x:c>
      <x:c r="P41" s="5" t="str">
        <x:v>No verified household weight. Use edible grams.</x:v>
      </x:c>
    </x:row>
    <x:row r="42" ht="64" customHeight="1">
      <x:c r="A42" s="7" t="str">
        <x:v>Carbohydrate Sources</x:v>
      </x:c>
      <x:c r="B42" s="7" t="n">
        <x:v>27</x:v>
      </x:c>
      <x:c r="C42" s="7" t="str">
        <x:v>Whole green moong, dry</x:v>
      </x:c>
      <x:c r="D42" s="7" t="str">
        <x:v>ICMR-NIN IFCT 2017</x:v>
      </x:c>
      <x:c r="E42" s="7" t="str">
        <x:v>B011</x:v>
      </x:c>
      <x:c r="F42" s="7" t="str">
        <x:v>Green gram, whole</x:v>
      </x:c>
      <x:c r="G42" s="26" t="n">
        <x:v>22.53</x:v>
      </x:c>
      <x:c r="H42" s="26" t="n">
        <x:v>46.13</x:v>
      </x:c>
      <x:c r="I42" s="26" t="n">
        <x:v>1.14</x:v>
      </x:c>
      <x:c r="J42" s="26" t="n">
        <x:v>17.04</x:v>
      </x:c>
      <x:c r="K42" s="26" t="n">
        <x:v>1229</x:v>
      </x:c>
      <x:c r="L42" s="7" t="str">
        <x:v>kJ</x:v>
      </x:c>
      <x:c r="M42" s="7" t="str">
        <x:v>https://www.nin.res.in/ebooks/IFCT2017.pdf#page=42</x:v>
      </x:c>
      <x:c r="N42" s="7" t="str">
        <x:v>Table 1; PDF page 42</x:v>
      </x:c>
      <x:c r="O42" s="7" t="str">
        <x:v>Available carbs + fibre; energy / 4.184. Original PDF values.</x:v>
      </x:c>
      <x:c r="P42" s="7" t="str">
        <x:v>No verified household weight. Use edible grams.</x:v>
      </x:c>
    </x:row>
    <x:row r="43" ht="64" customHeight="1">
      <x:c r="A43" s="5" t="str">
        <x:v>Carbohydrate Sources</x:v>
      </x:c>
      <x:c r="B43" s="5" t="n">
        <x:v>28</x:v>
      </x:c>
      <x:c r="C43" s="5" t="str">
        <x:v>Kulthi / horse gram, dry</x:v>
      </x:c>
      <x:c r="D43" s="5" t="str">
        <x:v>ICMR-NIN IFCT 2017</x:v>
      </x:c>
      <x:c r="E43" s="5" t="str">
        <x:v>B012</x:v>
      </x:c>
      <x:c r="F43" s="5" t="str">
        <x:v>Horse gram, whole</x:v>
      </x:c>
      <x:c r="G43" s="24" t="n">
        <x:v>21.73</x:v>
      </x:c>
      <x:c r="H43" s="24" t="n">
        <x:v>57.24</x:v>
      </x:c>
      <x:c r="I43" s="24" t="n">
        <x:v>0.62</x:v>
      </x:c>
      <x:c r="J43" s="24" t="n">
        <x:v>7.88</x:v>
      </x:c>
      <x:c r="K43" s="24" t="n">
        <x:v>1379</x:v>
      </x:c>
      <x:c r="L43" s="5" t="str">
        <x:v>kJ</x:v>
      </x:c>
      <x:c r="M43" s="5" t="str">
        <x:v>https://www.nin.res.in/ebooks/IFCT2017.pdf#page=42</x:v>
      </x:c>
      <x:c r="N43" s="5" t="str">
        <x:v>Table 1; PDF page 42</x:v>
      </x:c>
      <x:c r="O43" s="5" t="str">
        <x:v>Available carbs + fibre; energy / 4.184. Original PDF values.</x:v>
      </x:c>
      <x:c r="P43" s="5" t="str">
        <x:v>No verified household weight. Use edible grams.</x:v>
      </x:c>
    </x:row>
    <x:row r="44" ht="64" customHeight="1">
      <x:c r="A44" s="7" t="str">
        <x:v>Carbohydrate Sources</x:v>
      </x:c>
      <x:c r="B44" s="7" t="n">
        <x:v>29</x:v>
      </x:c>
      <x:c r="C44" s="7" t="str">
        <x:v>Masoor dal, dry</x:v>
      </x:c>
      <x:c r="D44" s="7" t="str">
        <x:v>ICMR-NIN IFCT 2017</x:v>
      </x:c>
      <x:c r="E44" s="7" t="str">
        <x:v>B013</x:v>
      </x:c>
      <x:c r="F44" s="7" t="str">
        <x:v>Lentil, dal</x:v>
      </x:c>
      <x:c r="G44" s="26" t="n">
        <x:v>24.35</x:v>
      </x:c>
      <x:c r="H44" s="26" t="n">
        <x:v>52.53</x:v>
      </x:c>
      <x:c r="I44" s="26" t="n">
        <x:v>0.75</x:v>
      </x:c>
      <x:c r="J44" s="26" t="n">
        <x:v>10.43</x:v>
      </x:c>
      <x:c r="K44" s="26" t="n">
        <x:v>1349</x:v>
      </x:c>
      <x:c r="L44" s="7" t="str">
        <x:v>kJ</x:v>
      </x:c>
      <x:c r="M44" s="7" t="str">
        <x:v>https://www.nin.res.in/ebooks/IFCT2017.pdf#page=42</x:v>
      </x:c>
      <x:c r="N44" s="7" t="str">
        <x:v>Table 1; PDF page 42</x:v>
      </x:c>
      <x:c r="O44" s="7" t="str">
        <x:v>Available carbs + fibre; energy / 4.184. Original PDF values.</x:v>
      </x:c>
      <x:c r="P44" s="7" t="str">
        <x:v>No verified household weight. Use edible grams.</x:v>
      </x:c>
    </x:row>
    <x:row r="45" ht="64" customHeight="1">
      <x:c r="A45" s="5" t="str">
        <x:v>Carbohydrate Sources</x:v>
      </x:c>
      <x:c r="B45" s="5" t="n">
        <x:v>30</x:v>
      </x:c>
      <x:c r="C45" s="5" t="str">
        <x:v>Whole brown masoor, dry</x:v>
      </x:c>
      <x:c r="D45" s="5" t="str">
        <x:v>ICMR-NIN IFCT 2017</x:v>
      </x:c>
      <x:c r="E45" s="5" t="str">
        <x:v>B014</x:v>
      </x:c>
      <x:c r="F45" s="5" t="str">
        <x:v>Lentil, whole, brown</x:v>
      </x:c>
      <x:c r="G45" s="24" t="n">
        <x:v>22.49</x:v>
      </x:c>
      <x:c r="H45" s="24" t="n">
        <x:v>48.47</x:v>
      </x:c>
      <x:c r="I45" s="24" t="n">
        <x:v>0.64</x:v>
      </x:c>
      <x:c r="J45" s="24" t="n">
        <x:v>16.82</x:v>
      </x:c>
      <x:c r="K45" s="24" t="n">
        <x:v>1251</x:v>
      </x:c>
      <x:c r="L45" s="5" t="str">
        <x:v>kJ</x:v>
      </x:c>
      <x:c r="M45" s="5" t="str">
        <x:v>https://www.nin.res.in/ebooks/IFCT2017.pdf#page=43</x:v>
      </x:c>
      <x:c r="N45" s="5" t="str">
        <x:v>Table 1; PDF page 43</x:v>
      </x:c>
      <x:c r="O45" s="5" t="str">
        <x:v>Available carbs + fibre; energy / 4.184. Original PDF values.</x:v>
      </x:c>
      <x:c r="P45" s="5" t="str">
        <x:v>No verified household weight. Use edible grams.</x:v>
      </x:c>
    </x:row>
    <x:row r="46" ht="64" customHeight="1">
      <x:c r="A46" s="7" t="str">
        <x:v>Carbohydrate Sources</x:v>
      </x:c>
      <x:c r="B46" s="7" t="n">
        <x:v>31</x:v>
      </x:c>
      <x:c r="C46" s="7" t="str">
        <x:v>Matki / moth bean, dry</x:v>
      </x:c>
      <x:c r="D46" s="7" t="str">
        <x:v>ICMR-NIN IFCT 2017</x:v>
      </x:c>
      <x:c r="E46" s="7" t="str">
        <x:v>B016</x:v>
      </x:c>
      <x:c r="F46" s="7" t="str">
        <x:v>Moth bean</x:v>
      </x:c>
      <x:c r="G46" s="26" t="n">
        <x:v>19.75</x:v>
      </x:c>
      <x:c r="H46" s="26" t="n">
        <x:v>52.09</x:v>
      </x:c>
      <x:c r="I46" s="26" t="n">
        <x:v>1.76</x:v>
      </x:c>
      <x:c r="J46" s="26" t="n">
        <x:v>15.12</x:v>
      </x:c>
      <x:c r="K46" s="26" t="n">
        <x:v>1291</x:v>
      </x:c>
      <x:c r="L46" s="7" t="str">
        <x:v>kJ</x:v>
      </x:c>
      <x:c r="M46" s="7" t="str">
        <x:v>https://www.nin.res.in/ebooks/IFCT2017.pdf#page=43</x:v>
      </x:c>
      <x:c r="N46" s="7" t="str">
        <x:v>Table 1; PDF page 43</x:v>
      </x:c>
      <x:c r="O46" s="7" t="str">
        <x:v>Available carbs + fibre; energy / 4.184. Original PDF values.</x:v>
      </x:c>
      <x:c r="P46" s="7" t="str">
        <x:v>No verified household weight. Use edible grams.</x:v>
      </x:c>
    </x:row>
    <x:row r="47" ht="64" customHeight="1">
      <x:c r="A47" s="5" t="str">
        <x:v>Carbohydrate Sources</x:v>
      </x:c>
      <x:c r="B47" s="5" t="n">
        <x:v>32</x:v>
      </x:c>
      <x:c r="C47" s="5" t="str">
        <x:v>Dried peas / matar, dry</x:v>
      </x:c>
      <x:c r="D47" s="5" t="str">
        <x:v>ICMR-NIN IFCT 2017</x:v>
      </x:c>
      <x:c r="E47" s="5" t="str">
        <x:v>B017</x:v>
      </x:c>
      <x:c r="F47" s="5" t="str">
        <x:v>Peas, dry</x:v>
      </x:c>
      <x:c r="G47" s="24" t="n">
        <x:v>20.43</x:v>
      </x:c>
      <x:c r="H47" s="24" t="n">
        <x:v>48.93</x:v>
      </x:c>
      <x:c r="I47" s="24" t="n">
        <x:v>1.89</x:v>
      </x:c>
      <x:c r="J47" s="24" t="n">
        <x:v>17.01</x:v>
      </x:c>
      <x:c r="K47" s="24" t="n">
        <x:v>1269</x:v>
      </x:c>
      <x:c r="L47" s="5" t="str">
        <x:v>kJ</x:v>
      </x:c>
      <x:c r="M47" s="5" t="str">
        <x:v>https://www.nin.res.in/ebooks/IFCT2017.pdf#page=43</x:v>
      </x:c>
      <x:c r="N47" s="5" t="str">
        <x:v>Table 1; PDF page 43</x:v>
      </x:c>
      <x:c r="O47" s="5" t="str">
        <x:v>Available carbs + fibre; energy / 4.184. Original PDF values.</x:v>
      </x:c>
      <x:c r="P47" s="5" t="str">
        <x:v>No verified household weight. Use edible grams.</x:v>
      </x:c>
    </x:row>
    <x:row r="48" ht="64" customHeight="1">
      <x:c r="A48" s="7" t="str">
        <x:v>Carbohydrate Sources</x:v>
      </x:c>
      <x:c r="B48" s="7" t="n">
        <x:v>33</x:v>
      </x:c>
      <x:c r="C48" s="7" t="str">
        <x:v>Red rajma, dry</x:v>
      </x:c>
      <x:c r="D48" s="7" t="str">
        <x:v>ICMR-NIN IFCT 2017</x:v>
      </x:c>
      <x:c r="E48" s="7" t="str">
        <x:v>B020</x:v>
      </x:c>
      <x:c r="F48" s="7" t="str">
        <x:v>Rajmah, red</x:v>
      </x:c>
      <x:c r="G48" s="26" t="n">
        <x:v>19.91</x:v>
      </x:c>
      <x:c r="H48" s="26" t="n">
        <x:v>48.61</x:v>
      </x:c>
      <x:c r="I48" s="26" t="n">
        <x:v>1.77</x:v>
      </x:c>
      <x:c r="J48" s="26" t="n">
        <x:v>16.57</x:v>
      </x:c>
      <x:c r="K48" s="26" t="n">
        <x:v>1252</x:v>
      </x:c>
      <x:c r="L48" s="7" t="str">
        <x:v>kJ</x:v>
      </x:c>
      <x:c r="M48" s="7" t="str">
        <x:v>https://www.nin.res.in/ebooks/IFCT2017.pdf#page=43</x:v>
      </x:c>
      <x:c r="N48" s="7" t="str">
        <x:v>Table 1; PDF page 43</x:v>
      </x:c>
      <x:c r="O48" s="7" t="str">
        <x:v>Available carbs + fibre; energy / 4.184. Original PDF values.</x:v>
      </x:c>
      <x:c r="P48" s="7" t="str">
        <x:v>No verified household weight. Use edible grams.</x:v>
      </x:c>
    </x:row>
    <x:row r="49" ht="64" customHeight="1">
      <x:c r="A49" s="5" t="str">
        <x:v>Carbohydrate Sources</x:v>
      </x:c>
      <x:c r="B49" s="5" t="n">
        <x:v>34</x:v>
      </x:c>
      <x:c r="C49" s="5" t="str">
        <x:v>Toor / arhar dal, dry</x:v>
      </x:c>
      <x:c r="D49" s="5" t="str">
        <x:v>ICMR-NIN IFCT 2017</x:v>
      </x:c>
      <x:c r="E49" s="5" t="str">
        <x:v>B021</x:v>
      </x:c>
      <x:c r="F49" s="5" t="str">
        <x:v>Red gram, dal</x:v>
      </x:c>
      <x:c r="G49" s="24" t="n">
        <x:v>21.7</x:v>
      </x:c>
      <x:c r="H49" s="24" t="n">
        <x:v>55.23</x:v>
      </x:c>
      <x:c r="I49" s="24" t="n">
        <x:v>1.56</x:v>
      </x:c>
      <x:c r="J49" s="24" t="n">
        <x:v>9.06</x:v>
      </x:c>
      <x:c r="K49" s="24" t="n">
        <x:v>1384</x:v>
      </x:c>
      <x:c r="L49" s="5" t="str">
        <x:v>kJ</x:v>
      </x:c>
      <x:c r="M49" s="5" t="str">
        <x:v>https://www.nin.res.in/ebooks/IFCT2017.pdf#page=43</x:v>
      </x:c>
      <x:c r="N49" s="5" t="str">
        <x:v>Table 1; PDF page 43</x:v>
      </x:c>
      <x:c r="O49" s="5" t="str">
        <x:v>Available carbs + fibre; energy / 4.184. Original PDF values.</x:v>
      </x:c>
      <x:c r="P49" s="5" t="str">
        <x:v>No verified household weight. Use edible grams.</x:v>
      </x:c>
    </x:row>
    <x:row r="50" ht="64" customHeight="1">
      <x:c r="A50" s="7" t="str">
        <x:v>Carbohydrate Sources</x:v>
      </x:c>
      <x:c r="B50" s="7" t="n">
        <x:v>35</x:v>
      </x:c>
      <x:c r="C50" s="7" t="str">
        <x:v>Apple, large variety, raw, edible portion</x:v>
      </x:c>
      <x:c r="D50" s="7" t="str">
        <x:v>ICMR-NIN IFCT 2017</x:v>
      </x:c>
      <x:c r="E50" s="7" t="str">
        <x:v>E001</x:v>
      </x:c>
      <x:c r="F50" s="7" t="str">
        <x:v>Apple, big</x:v>
      </x:c>
      <x:c r="G50" s="26" t="n">
        <x:v>0.29</x:v>
      </x:c>
      <x:c r="H50" s="26" t="n">
        <x:v>13.11</x:v>
      </x:c>
      <x:c r="I50" s="26" t="n">
        <x:v>0.64</x:v>
      </x:c>
      <x:c r="J50" s="26" t="n">
        <x:v>2.59</x:v>
      </x:c>
      <x:c r="K50" s="26" t="n">
        <x:v>261</x:v>
      </x:c>
      <x:c r="L50" s="7" t="str">
        <x:v>kJ</x:v>
      </x:c>
      <x:c r="M50" s="7" t="str">
        <x:v>https://www.nin.res.in/ebooks/IFCT2017.pdf#page=49</x:v>
      </x:c>
      <x:c r="N50" s="7" t="str">
        <x:v>Table 1; PDF page 49</x:v>
      </x:c>
      <x:c r="O50" s="7" t="str">
        <x:v>Available carbs + fibre; energy / 4.184. Original PDF values.</x:v>
      </x:c>
      <x:c r="P50" s="7" t="str">
        <x:v>No verified household weight. Use edible grams.</x:v>
      </x:c>
    </x:row>
    <x:row r="51" ht="64" customHeight="1">
      <x:c r="A51" s="5" t="str">
        <x:v>Carbohydrate Sources</x:v>
      </x:c>
      <x:c r="B51" s="5" t="n">
        <x:v>36</x:v>
      </x:c>
      <x:c r="C51" s="5" t="str">
        <x:v>Dried apricots / khubani</x:v>
      </x:c>
      <x:c r="D51" s="5" t="str">
        <x:v>ICMR-NIN IFCT 2017</x:v>
      </x:c>
      <x:c r="E51" s="5" t="str">
        <x:v>E005</x:v>
      </x:c>
      <x:c r="F51" s="5" t="str">
        <x:v>Apricot, dried</x:v>
      </x:c>
      <x:c r="G51" s="24" t="n">
        <x:v>3.17</x:v>
      </x:c>
      <x:c r="H51" s="24" t="n">
        <x:v>72.63</x:v>
      </x:c>
      <x:c r="I51" s="24" t="n">
        <x:v>0.74</x:v>
      </x:c>
      <x:c r="J51" s="24" t="n">
        <x:v>3.32</x:v>
      </x:c>
      <x:c r="K51" s="24" t="n">
        <x:v>1321</x:v>
      </x:c>
      <x:c r="L51" s="5" t="str">
        <x:v>kJ</x:v>
      </x:c>
      <x:c r="M51" s="5" t="str">
        <x:v>https://www.nin.res.in/ebooks/IFCT2017.pdf#page=49</x:v>
      </x:c>
      <x:c r="N51" s="5" t="str">
        <x:v>Table 1; PDF page 49</x:v>
      </x:c>
      <x:c r="O51" s="5" t="str">
        <x:v>Available carbs + fibre; energy / 4.184. Original PDF values.</x:v>
      </x:c>
      <x:c r="P51" s="5" t="str">
        <x:v>No verified household weight. Use edible grams.</x:v>
      </x:c>
    </x:row>
    <x:row r="52" ht="64" customHeight="1">
      <x:c r="A52" s="7" t="str">
        <x:v>Carbohydrate Sources</x:v>
      </x:c>
      <x:c r="B52" s="7" t="n">
        <x:v>37</x:v>
      </x:c>
      <x:c r="C52" s="7" t="str">
        <x:v>Bael fruit, raw, edible pulp</x:v>
      </x:c>
      <x:c r="D52" s="7" t="str">
        <x:v>ICMR-NIN IFCT 2017</x:v>
      </x:c>
      <x:c r="E52" s="7" t="str">
        <x:v>E008</x:v>
      </x:c>
      <x:c r="F52" s="7" t="str">
        <x:v>Bael fruit</x:v>
      </x:c>
      <x:c r="G52" s="26" t="n">
        <x:v>2.63</x:v>
      </x:c>
      <x:c r="H52" s="26" t="n">
        <x:v>28.21</x:v>
      </x:c>
      <x:c r="I52" s="26" t="n">
        <x:v>0.57</x:v>
      </x:c>
      <x:c r="J52" s="26" t="n">
        <x:v>6.31</x:v>
      </x:c>
      <x:c r="K52" s="26" t="n">
        <x:v>569</x:v>
      </x:c>
      <x:c r="L52" s="7" t="str">
        <x:v>kJ</x:v>
      </x:c>
      <x:c r="M52" s="7" t="str">
        <x:v>https://www.nin.res.in/ebooks/IFCT2017.pdf#page=49</x:v>
      </x:c>
      <x:c r="N52" s="7" t="str">
        <x:v>Table 1; PDF page 49</x:v>
      </x:c>
      <x:c r="O52" s="7" t="str">
        <x:v>Available carbs + fibre; energy / 4.184. Original PDF values.</x:v>
      </x:c>
      <x:c r="P52" s="7" t="str">
        <x:v>No verified household weight. Use edible grams.</x:v>
      </x:c>
    </x:row>
    <x:row r="53" ht="64" customHeight="1">
      <x:c r="A53" s="5" t="str">
        <x:v>Carbohydrate Sources</x:v>
      </x:c>
      <x:c r="B53" s="5" t="n">
        <x:v>38</x:v>
      </x:c>
      <x:c r="C53" s="5" t="str">
        <x:v>Banana, ripe, Robusta, peeled</x:v>
      </x:c>
      <x:c r="D53" s="5" t="str">
        <x:v>ICMR-NIN IFCT 2017</x:v>
      </x:c>
      <x:c r="E53" s="5" t="str">
        <x:v>E012</x:v>
      </x:c>
      <x:c r="F53" s="5" t="str">
        <x:v>Banana, ripe, robusta</x:v>
      </x:c>
      <x:c r="G53" s="24" t="n">
        <x:v>1.23</x:v>
      </x:c>
      <x:c r="H53" s="24" t="n">
        <x:v>23.63</x:v>
      </x:c>
      <x:c r="I53" s="24" t="n">
        <x:v>0.33</x:v>
      </x:c>
      <x:c r="J53" s="24" t="n">
        <x:v>1.94</x:v>
      </x:c>
      <x:c r="K53" s="24" t="n">
        <x:v>440</x:v>
      </x:c>
      <x:c r="L53" s="5" t="str">
        <x:v>kJ</x:v>
      </x:c>
      <x:c r="M53" s="5" t="str">
        <x:v>https://www.nin.res.in/ebooks/IFCT2017.pdf#page=49</x:v>
      </x:c>
      <x:c r="N53" s="5" t="str">
        <x:v>Table 1; PDF page 49</x:v>
      </x:c>
      <x:c r="O53" s="5" t="str">
        <x:v>Available carbs + fibre; energy / 4.184. Original PDF values.</x:v>
      </x:c>
      <x:c r="P53" s="5" t="str">
        <x:v>No verified household weight. Use edible grams.</x:v>
      </x:c>
    </x:row>
    <x:row r="54" ht="64" customHeight="1">
      <x:c r="A54" s="7" t="str">
        <x:v>Carbohydrate Sources</x:v>
      </x:c>
      <x:c r="B54" s="7" t="n">
        <x:v>39</x:v>
      </x:c>
      <x:c r="C54" s="7" t="str">
        <x:v>Custard apple / sitaphal, raw, edible pulp</x:v>
      </x:c>
      <x:c r="D54" s="7" t="str">
        <x:v>ICMR-NIN IFCT 2017</x:v>
      </x:c>
      <x:c r="E54" s="7" t="str">
        <x:v>E016</x:v>
      </x:c>
      <x:c r="F54" s="7" t="str">
        <x:v>Custard apple</x:v>
      </x:c>
      <x:c r="G54" s="26" t="n">
        <x:v>1.62</x:v>
      </x:c>
      <x:c r="H54" s="26" t="n">
        <x:v>20.38</x:v>
      </x:c>
      <x:c r="I54" s="26" t="n">
        <x:v>0.67</x:v>
      </x:c>
      <x:c r="J54" s="26" t="n">
        <x:v>5.1</x:v>
      </x:c>
      <x:c r="K54" s="26" t="n">
        <x:v>414</x:v>
      </x:c>
      <x:c r="L54" s="7" t="str">
        <x:v>kJ</x:v>
      </x:c>
      <x:c r="M54" s="7" t="str">
        <x:v>https://www.nin.res.in/ebooks/IFCT2017.pdf#page=49</x:v>
      </x:c>
      <x:c r="N54" s="7" t="str">
        <x:v>Table 1; PDF page 49</x:v>
      </x:c>
      <x:c r="O54" s="7" t="str">
        <x:v>Available carbs + fibre; energy / 4.184. Original PDF values.</x:v>
      </x:c>
      <x:c r="P54" s="7" t="str">
        <x:v>No verified household weight. Use edible grams.</x:v>
      </x:c>
    </x:row>
    <x:row r="55" ht="64" customHeight="1">
      <x:c r="A55" s="5" t="str">
        <x:v>Carbohydrate Sources</x:v>
      </x:c>
      <x:c r="B55" s="5" t="n">
        <x:v>40</x:v>
      </x:c>
      <x:c r="C55" s="5" t="str">
        <x:v>Dry dates / chuhara, pale brown, pitted</x:v>
      </x:c>
      <x:c r="D55" s="5" t="str">
        <x:v>ICMR-NIN IFCT 2017</x:v>
      </x:c>
      <x:c r="E55" s="5" t="str">
        <x:v>E017</x:v>
      </x:c>
      <x:c r="F55" s="5" t="str">
        <x:v>Dates, dry, pale brown</x:v>
      </x:c>
      <x:c r="G55" s="24" t="n">
        <x:v>2.45</x:v>
      </x:c>
      <x:c r="H55" s="24" t="n">
        <x:v>74.91</x:v>
      </x:c>
      <x:c r="I55" s="24" t="n">
        <x:v>0.35</x:v>
      </x:c>
      <x:c r="J55" s="24" t="n">
        <x:v>8.95</x:v>
      </x:c>
      <x:c r="K55" s="24" t="n">
        <x:v>1340</x:v>
      </x:c>
      <x:c r="L55" s="5" t="str">
        <x:v>kJ</x:v>
      </x:c>
      <x:c r="M55" s="5" t="str">
        <x:v>https://www.nin.res.in/ebooks/IFCT2017.pdf#page=50</x:v>
      </x:c>
      <x:c r="N55" s="5" t="str">
        <x:v>Table 1; PDF page 50</x:v>
      </x:c>
      <x:c r="O55" s="5" t="str">
        <x:v>Available carbs + fibre; energy / 4.184. Original PDF values.</x:v>
      </x:c>
      <x:c r="P55" s="5" t="str">
        <x:v>No verified household weight. Use edible grams.</x:v>
      </x:c>
    </x:row>
    <x:row r="56" ht="64" customHeight="1">
      <x:c r="A56" s="7" t="str">
        <x:v>Carbohydrate Sources</x:v>
      </x:c>
      <x:c r="B56" s="7" t="n">
        <x:v>41</x:v>
      </x:c>
      <x:c r="C56" s="7" t="str">
        <x:v>Fig / anjeer, fresh</x:v>
      </x:c>
      <x:c r="D56" s="7" t="str">
        <x:v>ICMR-NIN IFCT 2017</x:v>
      </x:c>
      <x:c r="E56" s="7" t="str">
        <x:v>E020</x:v>
      </x:c>
      <x:c r="F56" s="7" t="str">
        <x:v>Fig</x:v>
      </x:c>
      <x:c r="G56" s="26" t="n">
        <x:v>2.03</x:v>
      </x:c>
      <x:c r="H56" s="26" t="n">
        <x:v>16.28</x:v>
      </x:c>
      <x:c r="I56" s="26" t="n">
        <x:v>0.37</x:v>
      </x:c>
      <x:c r="J56" s="26" t="n">
        <x:v>4.64</x:v>
      </x:c>
      <x:c r="K56" s="26" t="n">
        <x:v>341</x:v>
      </x:c>
      <x:c r="L56" s="7" t="str">
        <x:v>kJ</x:v>
      </x:c>
      <x:c r="M56" s="7" t="str">
        <x:v>https://www.nin.res.in/ebooks/IFCT2017.pdf#page=50</x:v>
      </x:c>
      <x:c r="N56" s="7" t="str">
        <x:v>Table 1; PDF page 50</x:v>
      </x:c>
      <x:c r="O56" s="7" t="str">
        <x:v>Available carbs + fibre; energy / 4.184. Original PDF values.</x:v>
      </x:c>
      <x:c r="P56" s="7" t="str">
        <x:v>No verified household weight. Use edible grams.</x:v>
      </x:c>
    </x:row>
    <x:row r="57" ht="64" customHeight="1">
      <x:c r="A57" s="5" t="str">
        <x:v>Carbohydrate Sources</x:v>
      </x:c>
      <x:c r="B57" s="5" t="n">
        <x:v>42</x:v>
      </x:c>
      <x:c r="C57" s="5" t="str">
        <x:v>Grapes, seeded, green, raw</x:v>
      </x:c>
      <x:c r="D57" s="5" t="str">
        <x:v>ICMR-NIN IFCT 2017</x:v>
      </x:c>
      <x:c r="E57" s="5" t="str">
        <x:v>E023</x:v>
      </x:c>
      <x:c r="F57" s="5" t="str">
        <x:v>Grapes, seeded, round, green</x:v>
      </x:c>
      <x:c r="G57" s="24" t="n">
        <x:v>0.77</x:v>
      </x:c>
      <x:c r="H57" s="24" t="n">
        <x:v>12.19</x:v>
      </x:c>
      <x:c r="I57" s="24" t="n">
        <x:v>0.29</x:v>
      </x:c>
      <x:c r="J57" s="24" t="n">
        <x:v>1.25</x:v>
      </x:c>
      <x:c r="K57" s="24" t="n">
        <x:v>235</x:v>
      </x:c>
      <x:c r="L57" s="5" t="str">
        <x:v>kJ</x:v>
      </x:c>
      <x:c r="M57" s="5" t="str">
        <x:v>https://www.nin.res.in/ebooks/IFCT2017.pdf#page=50</x:v>
      </x:c>
      <x:c r="N57" s="5" t="str">
        <x:v>Table 1; PDF page 50</x:v>
      </x:c>
      <x:c r="O57" s="5" t="str">
        <x:v>Available carbs + fibre; energy / 4.184. Original PDF values.</x:v>
      </x:c>
      <x:c r="P57" s="5" t="str">
        <x:v>No verified household weight. Use edible grams.</x:v>
      </x:c>
    </x:row>
    <x:row r="58" ht="64" customHeight="1">
      <x:c r="A58" s="7" t="str">
        <x:v>Carbohydrate Sources</x:v>
      </x:c>
      <x:c r="B58" s="7" t="n">
        <x:v>43</x:v>
      </x:c>
      <x:c r="C58" s="7" t="str">
        <x:v>Guava, white flesh, raw</x:v>
      </x:c>
      <x:c r="D58" s="7" t="str">
        <x:v>ICMR-NIN IFCT 2017</x:v>
      </x:c>
      <x:c r="E58" s="7" t="str">
        <x:v>E028</x:v>
      </x:c>
      <x:c r="F58" s="7" t="str">
        <x:v>Guava, white flesh</x:v>
      </x:c>
      <x:c r="G58" s="26" t="n">
        <x:v>1.44</x:v>
      </x:c>
      <x:c r="H58" s="26" t="n">
        <x:v>5.13</x:v>
      </x:c>
      <x:c r="I58" s="26" t="n">
        <x:v>0.32</x:v>
      </x:c>
      <x:c r="J58" s="26" t="n">
        <x:v>8.59</x:v>
      </x:c>
      <x:c r="K58" s="26" t="n">
        <x:v>135</x:v>
      </x:c>
      <x:c r="L58" s="7" t="str">
        <x:v>kJ</x:v>
      </x:c>
      <x:c r="M58" s="7" t="str">
        <x:v>https://www.nin.res.in/ebooks/IFCT2017.pdf#page=50</x:v>
      </x:c>
      <x:c r="N58" s="7" t="str">
        <x:v>Table 1; PDF page 50</x:v>
      </x:c>
      <x:c r="O58" s="7" t="str">
        <x:v>Available carbs + fibre; energy / 4.184. Original PDF values.</x:v>
      </x:c>
      <x:c r="P58" s="7" t="str">
        <x:v>No verified household weight. Use edible grams.</x:v>
      </x:c>
    </x:row>
    <x:row r="59" ht="64" customHeight="1">
      <x:c r="A59" s="5" t="str">
        <x:v>Carbohydrate Sources</x:v>
      </x:c>
      <x:c r="B59" s="5" t="n">
        <x:v>44</x:v>
      </x:c>
      <x:c r="C59" s="5" t="str">
        <x:v>Jackfruit, ripe, edible flesh</x:v>
      </x:c>
      <x:c r="D59" s="5" t="str">
        <x:v>ICMR-NIN IFCT 2017</x:v>
      </x:c>
      <x:c r="E59" s="5" t="str">
        <x:v>E030</x:v>
      </x:c>
      <x:c r="F59" s="5" t="str">
        <x:v>Jack fruit, ripe</x:v>
      </x:c>
      <x:c r="G59" s="24" t="n">
        <x:v>2.74</x:v>
      </x:c>
      <x:c r="H59" s="24" t="n">
        <x:v>14.01</x:v>
      </x:c>
      <x:c r="I59" s="24" t="n">
        <x:v>0.15</x:v>
      </x:c>
      <x:c r="J59" s="24" t="n">
        <x:v>3.62</x:v>
      </x:c>
      <x:c r="K59" s="24" t="n">
        <x:v>302</x:v>
      </x:c>
      <x:c r="L59" s="5" t="str">
        <x:v>kJ</x:v>
      </x:c>
      <x:c r="M59" s="5" t="str">
        <x:v>https://www.nin.res.in/ebooks/IFCT2017.pdf#page=50</x:v>
      </x:c>
      <x:c r="N59" s="5" t="str">
        <x:v>Table 1; PDF page 50</x:v>
      </x:c>
      <x:c r="O59" s="5" t="str">
        <x:v>Available carbs + fibre; energy / 4.184. Original PDF values.</x:v>
      </x:c>
      <x:c r="P59" s="5" t="str">
        <x:v>No verified household weight. Use edible grams.</x:v>
      </x:c>
    </x:row>
    <x:row r="60" ht="64" customHeight="1">
      <x:c r="A60" s="7" t="str">
        <x:v>Carbohydrate Sources</x:v>
      </x:c>
      <x:c r="B60" s="7" t="n">
        <x:v>45</x:v>
      </x:c>
      <x:c r="C60" s="7" t="str">
        <x:v>Litchi, raw, peeled and pitted</x:v>
      </x:c>
      <x:c r="D60" s="7" t="str">
        <x:v>ICMR-NIN IFCT 2017</x:v>
      </x:c>
      <x:c r="E60" s="7" t="str">
        <x:v>E035</x:v>
      </x:c>
      <x:c r="F60" s="7" t="str">
        <x:v>Litchi</x:v>
      </x:c>
      <x:c r="G60" s="26" t="n">
        <x:v>0.99</x:v>
      </x:c>
      <x:c r="H60" s="26" t="n">
        <x:v>11.41</x:v>
      </x:c>
      <x:c r="I60" s="26" t="n">
        <x:v>0.26</x:v>
      </x:c>
      <x:c r="J60" s="26" t="n">
        <x:v>1.34</x:v>
      </x:c>
      <x:c r="K60" s="26" t="n">
        <x:v>225</x:v>
      </x:c>
      <x:c r="L60" s="7" t="str">
        <x:v>kJ</x:v>
      </x:c>
      <x:c r="M60" s="7" t="str">
        <x:v>https://www.nin.res.in/ebooks/IFCT2017.pdf#page=50</x:v>
      </x:c>
      <x:c r="N60" s="7" t="str">
        <x:v>Table 1; PDF page 50</x:v>
      </x:c>
      <x:c r="O60" s="7" t="str">
        <x:v>Available carbs + fibre; energy / 4.184. Original PDF values.</x:v>
      </x:c>
      <x:c r="P60" s="7" t="str">
        <x:v>No verified household weight. Use edible grams.</x:v>
      </x:c>
    </x:row>
    <x:row r="61" ht="64" customHeight="1">
      <x:c r="A61" s="5" t="str">
        <x:v>Carbohydrate Sources</x:v>
      </x:c>
      <x:c r="B61" s="5" t="n">
        <x:v>46</x:v>
      </x:c>
      <x:c r="C61" s="5" t="str">
        <x:v>Mango, ripe, Kesar, edible flesh</x:v>
      </x:c>
      <x:c r="D61" s="5" t="str">
        <x:v>ICMR-NIN IFCT 2017</x:v>
      </x:c>
      <x:c r="E61" s="5" t="str">
        <x:v>E039</x:v>
      </x:c>
      <x:c r="F61" s="5" t="str">
        <x:v>Mango, ripe, kesar</x:v>
      </x:c>
      <x:c r="G61" s="24" t="n">
        <x:v>0.54</x:v>
      </x:c>
      <x:c r="H61" s="24" t="n">
        <x:v>11.36</x:v>
      </x:c>
      <x:c r="I61" s="24" t="n">
        <x:v>0.57</x:v>
      </x:c>
      <x:c r="J61" s="24" t="n">
        <x:v>2.02</x:v>
      </x:c>
      <x:c r="K61" s="24" t="n">
        <x:v>231</x:v>
      </x:c>
      <x:c r="L61" s="5" t="str">
        <x:v>kJ</x:v>
      </x:c>
      <x:c r="M61" s="5" t="str">
        <x:v>https://www.nin.res.in/ebooks/IFCT2017.pdf#page=51</x:v>
      </x:c>
      <x:c r="N61" s="5" t="str">
        <x:v>Table 1; PDF page 51</x:v>
      </x:c>
      <x:c r="O61" s="5" t="str">
        <x:v>Available carbs + fibre; energy / 4.184. Original PDF values.</x:v>
      </x:c>
      <x:c r="P61" s="5" t="str">
        <x:v>No verified household weight. Use edible grams.</x:v>
      </x:c>
    </x:row>
    <x:row r="62" ht="64" customHeight="1">
      <x:c r="A62" s="7" t="str">
        <x:v>Carbohydrate Sources</x:v>
      </x:c>
      <x:c r="B62" s="7" t="n">
        <x:v>47</x:v>
      </x:c>
      <x:c r="C62" s="7" t="str">
        <x:v>Muskmelon, orange flesh, raw</x:v>
      </x:c>
      <x:c r="D62" s="7" t="str">
        <x:v>ICMR-NIN IFCT 2017</x:v>
      </x:c>
      <x:c r="E62" s="7" t="str">
        <x:v>E045</x:v>
      </x:c>
      <x:c r="F62" s="7" t="str">
        <x:v>Musk melon, orange flesh</x:v>
      </x:c>
      <x:c r="G62" s="26" t="n">
        <x:v>0.42</x:v>
      </x:c>
      <x:c r="H62" s="26" t="n">
        <x:v>4.24</x:v>
      </x:c>
      <x:c r="I62" s="26" t="n">
        <x:v>0.35</x:v>
      </x:c>
      <x:c r="J62" s="26" t="n">
        <x:v>1.51</x:v>
      </x:c>
      <x:c r="K62" s="26" t="n">
        <x:v>97</x:v>
      </x:c>
      <x:c r="L62" s="7" t="str">
        <x:v>kJ</x:v>
      </x:c>
      <x:c r="M62" s="7" t="str">
        <x:v>https://www.nin.res.in/ebooks/IFCT2017.pdf#page=51</x:v>
      </x:c>
      <x:c r="N62" s="7" t="str">
        <x:v>Table 1; PDF page 51</x:v>
      </x:c>
      <x:c r="O62" s="7" t="str">
        <x:v>Available carbs + fibre; energy / 4.184. Original PDF values.</x:v>
      </x:c>
      <x:c r="P62" s="7" t="str">
        <x:v>No verified household weight. Use edible grams.</x:v>
      </x:c>
    </x:row>
    <x:row r="63" ht="64" customHeight="1">
      <x:c r="A63" s="5" t="str">
        <x:v>Carbohydrate Sources</x:v>
      </x:c>
      <x:c r="B63" s="5" t="n">
        <x:v>48</x:v>
      </x:c>
      <x:c r="C63" s="5" t="str">
        <x:v>Orange, raw, edible pulp</x:v>
      </x:c>
      <x:c r="D63" s="5" t="str">
        <x:v>ICMR-NIN IFCT 2017</x:v>
      </x:c>
      <x:c r="E63" s="5" t="str">
        <x:v>E047</x:v>
      </x:c>
      <x:c r="F63" s="5" t="str">
        <x:v>Orange, pulp</x:v>
      </x:c>
      <x:c r="G63" s="24" t="n">
        <x:v>0.7</x:v>
      </x:c>
      <x:c r="H63" s="24" t="n">
        <x:v>7.92</x:v>
      </x:c>
      <x:c r="I63" s="24" t="n">
        <x:v>0.13</x:v>
      </x:c>
      <x:c r="J63" s="24" t="n">
        <x:v>1.29</x:v>
      </x:c>
      <x:c r="K63" s="24" t="n">
        <x:v>156</x:v>
      </x:c>
      <x:c r="L63" s="5" t="str">
        <x:v>kJ</x:v>
      </x:c>
      <x:c r="M63" s="5" t="str">
        <x:v>https://www.nin.res.in/ebooks/IFCT2017.pdf#page=51</x:v>
      </x:c>
      <x:c r="N63" s="5" t="str">
        <x:v>Table 1; PDF page 51</x:v>
      </x:c>
      <x:c r="O63" s="5" t="str">
        <x:v>Available carbs + fibre; energy / 4.184. Original PDF values.</x:v>
      </x:c>
      <x:c r="P63" s="5" t="str">
        <x:v>No verified household weight. Use edible grams.</x:v>
      </x:c>
    </x:row>
    <x:row r="64" ht="64" customHeight="1">
      <x:c r="A64" s="7" t="str">
        <x:v>Carbohydrate Sources</x:v>
      </x:c>
      <x:c r="B64" s="7" t="n">
        <x:v>49</x:v>
      </x:c>
      <x:c r="C64" s="7" t="str">
        <x:v>Papaya, ripe, edible flesh</x:v>
      </x:c>
      <x:c r="D64" s="7" t="str">
        <x:v>ICMR-NIN IFCT 2017</x:v>
      </x:c>
      <x:c r="E64" s="7" t="str">
        <x:v>E049</x:v>
      </x:c>
      <x:c r="F64" s="7" t="str">
        <x:v>Papaya, ripe</x:v>
      </x:c>
      <x:c r="G64" s="26" t="n">
        <x:v>0.42</x:v>
      </x:c>
      <x:c r="H64" s="26" t="n">
        <x:v>4.61</x:v>
      </x:c>
      <x:c r="I64" s="26" t="n">
        <x:v>0.16</x:v>
      </x:c>
      <x:c r="J64" s="26" t="n">
        <x:v>2.83</x:v>
      </x:c>
      <x:c r="K64" s="26" t="n">
        <x:v>100</x:v>
      </x:c>
      <x:c r="L64" s="7" t="str">
        <x:v>kJ</x:v>
      </x:c>
      <x:c r="M64" s="7" t="str">
        <x:v>https://www.nin.res.in/ebooks/IFCT2017.pdf#page=51</x:v>
      </x:c>
      <x:c r="N64" s="7" t="str">
        <x:v>Table 1; PDF page 51</x:v>
      </x:c>
      <x:c r="O64" s="7" t="str">
        <x:v>Available carbs + fibre; energy / 4.184. Original PDF values.</x:v>
      </x:c>
      <x:c r="P64" s="7" t="str">
        <x:v>No verified household weight. Use edible grams.</x:v>
      </x:c>
    </x:row>
    <x:row r="65" ht="64" customHeight="1">
      <x:c r="A65" s="5" t="str">
        <x:v>Carbohydrate Sources</x:v>
      </x:c>
      <x:c r="B65" s="5" t="n">
        <x:v>50</x:v>
      </x:c>
      <x:c r="C65" s="5" t="str">
        <x:v>Pear, raw, edible portion</x:v>
      </x:c>
      <x:c r="D65" s="5" t="str">
        <x:v>ICMR-NIN IFCT 2017</x:v>
      </x:c>
      <x:c r="E65" s="5" t="str">
        <x:v>E051</x:v>
      </x:c>
      <x:c r="F65" s="5" t="str">
        <x:v>Pear</x:v>
      </x:c>
      <x:c r="G65" s="24" t="n">
        <x:v>0.36</x:v>
      </x:c>
      <x:c r="H65" s="24" t="n">
        <x:v>8.09</x:v>
      </x:c>
      <x:c r="I65" s="24" t="n">
        <x:v>0.27</x:v>
      </x:c>
      <x:c r="J65" s="24" t="n">
        <x:v>4.48</x:v>
      </x:c>
      <x:c r="K65" s="24" t="n">
        <x:v>157</x:v>
      </x:c>
      <x:c r="L65" s="5" t="str">
        <x:v>kJ</x:v>
      </x:c>
      <x:c r="M65" s="5" t="str">
        <x:v>https://www.nin.res.in/ebooks/IFCT2017.pdf#page=51</x:v>
      </x:c>
      <x:c r="N65" s="5" t="str">
        <x:v>Table 1; PDF page 51</x:v>
      </x:c>
      <x:c r="O65" s="5" t="str">
        <x:v>Available carbs + fibre; energy / 4.184. Original PDF values.</x:v>
      </x:c>
      <x:c r="P65" s="5" t="str">
        <x:v>No verified household weight. Use edible grams.</x:v>
      </x:c>
    </x:row>
    <x:row r="66" ht="64" customHeight="1">
      <x:c r="A66" s="7" t="str">
        <x:v>Carbohydrate Sources</x:v>
      </x:c>
      <x:c r="B66" s="7" t="n">
        <x:v>51</x:v>
      </x:c>
      <x:c r="C66" s="7" t="str">
        <x:v>Pineapple, raw, edible flesh</x:v>
      </x:c>
      <x:c r="D66" s="7" t="str">
        <x:v>ICMR-NIN IFCT 2017</x:v>
      </x:c>
      <x:c r="E66" s="7" t="str">
        <x:v>E053</x:v>
      </x:c>
      <x:c r="F66" s="7" t="str">
        <x:v>Pineapple</x:v>
      </x:c>
      <x:c r="G66" s="26" t="n">
        <x:v>0.52</x:v>
      </x:c>
      <x:c r="H66" s="26" t="n">
        <x:v>9.42</x:v>
      </x:c>
      <x:c r="I66" s="26" t="n">
        <x:v>0.16</x:v>
      </x:c>
      <x:c r="J66" s="26" t="n">
        <x:v>3.46</x:v>
      </x:c>
      <x:c r="K66" s="26" t="n">
        <x:v>180</x:v>
      </x:c>
      <x:c r="L66" s="7" t="str">
        <x:v>kJ</x:v>
      </x:c>
      <x:c r="M66" s="7" t="str">
        <x:v>https://www.nin.res.in/ebooks/IFCT2017.pdf#page=51</x:v>
      </x:c>
      <x:c r="N66" s="7" t="str">
        <x:v>Table 1; PDF page 51</x:v>
      </x:c>
      <x:c r="O66" s="7" t="str">
        <x:v>Available carbs + fibre; energy / 4.184. Original PDF values.</x:v>
      </x:c>
      <x:c r="P66" s="7" t="str">
        <x:v>No verified household weight. Use edible grams.</x:v>
      </x:c>
    </x:row>
    <x:row r="67" ht="64" customHeight="1">
      <x:c r="A67" s="5" t="str">
        <x:v>Carbohydrate Sources</x:v>
      </x:c>
      <x:c r="B67" s="5" t="n">
        <x:v>52</x:v>
      </x:c>
      <x:c r="C67" s="5" t="str">
        <x:v>Pomegranate, maroon arils</x:v>
      </x:c>
      <x:c r="D67" s="5" t="str">
        <x:v>ICMR-NIN IFCT 2017</x:v>
      </x:c>
      <x:c r="E67" s="5" t="str">
        <x:v>E055</x:v>
      </x:c>
      <x:c r="F67" s="5" t="str">
        <x:v>Pomegranate, maroon seeds</x:v>
      </x:c>
      <x:c r="G67" s="24" t="n">
        <x:v>1.33</x:v>
      </x:c>
      <x:c r="H67" s="24" t="n">
        <x:v>11.58</x:v>
      </x:c>
      <x:c r="I67" s="24" t="n">
        <x:v>0.15</x:v>
      </x:c>
      <x:c r="J67" s="24" t="n">
        <x:v>2.83</x:v>
      </x:c>
      <x:c r="K67" s="24" t="n">
        <x:v>229</x:v>
      </x:c>
      <x:c r="L67" s="5" t="str">
        <x:v>kJ</x:v>
      </x:c>
      <x:c r="M67" s="5" t="str">
        <x:v>https://www.nin.res.in/ebooks/IFCT2017.pdf#page=51</x:v>
      </x:c>
      <x:c r="N67" s="5" t="str">
        <x:v>Table 1; PDF page 51</x:v>
      </x:c>
      <x:c r="O67" s="5" t="str">
        <x:v>Available carbs + fibre; energy / 4.184. Original PDF values.</x:v>
      </x:c>
      <x:c r="P67" s="5" t="str">
        <x:v>No verified household weight. Use edible grams.</x:v>
      </x:c>
    </x:row>
    <x:row r="68" ht="64" customHeight="1">
      <x:c r="A68" s="7" t="str">
        <x:v>Carbohydrate Sources</x:v>
      </x:c>
      <x:c r="B68" s="7" t="n">
        <x:v>53</x:v>
      </x:c>
      <x:c r="C68" s="7" t="str">
        <x:v>Raisins / kishmish, golden, dried</x:v>
      </x:c>
      <x:c r="D68" s="7" t="str">
        <x:v>ICMR-NIN IFCT 2017</x:v>
      </x:c>
      <x:c r="E68" s="7" t="str">
        <x:v>E058</x:v>
      </x:c>
      <x:c r="F68" s="7" t="str">
        <x:v>Raisins, dried, golden</x:v>
      </x:c>
      <x:c r="G68" s="26" t="n">
        <x:v>2.76</x:v>
      </x:c>
      <x:c r="H68" s="26" t="n">
        <x:v>68.79</x:v>
      </x:c>
      <x:c r="I68" s="26" t="n">
        <x:v>0.35</x:v>
      </x:c>
      <x:c r="J68" s="26" t="n">
        <x:v>4.56</x:v>
      </x:c>
      <x:c r="K68" s="26" t="n">
        <x:v>1241</x:v>
      </x:c>
      <x:c r="L68" s="7" t="str">
        <x:v>kJ</x:v>
      </x:c>
      <x:c r="M68" s="7" t="str">
        <x:v>https://www.nin.res.in/ebooks/IFCT2017.pdf#page=51</x:v>
      </x:c>
      <x:c r="N68" s="7" t="str">
        <x:v>Table 1; PDF page 51</x:v>
      </x:c>
      <x:c r="O68" s="7" t="str">
        <x:v>Available carbs + fibre; energy / 4.184. Original PDF values.</x:v>
      </x:c>
      <x:c r="P68" s="7" t="str">
        <x:v>No verified household weight. Use edible grams.</x:v>
      </x:c>
    </x:row>
    <x:row r="69" ht="64" customHeight="1">
      <x:c r="A69" s="5" t="str">
        <x:v>Carbohydrate Sources</x:v>
      </x:c>
      <x:c r="B69" s="5" t="n">
        <x:v>54</x:v>
      </x:c>
      <x:c r="C69" s="5" t="str">
        <x:v>Sapota / chikoo, raw, edible portion</x:v>
      </x:c>
      <x:c r="D69" s="5" t="str">
        <x:v>ICMR-NIN IFCT 2017</x:v>
      </x:c>
      <x:c r="E69" s="5" t="str">
        <x:v>E060</x:v>
      </x:c>
      <x:c r="F69" s="5" t="str">
        <x:v>Sapota</x:v>
      </x:c>
      <x:c r="G69" s="24" t="n">
        <x:v>0.92</x:v>
      </x:c>
      <x:c r="H69" s="24" t="n">
        <x:v>13.9</x:v>
      </x:c>
      <x:c r="I69" s="24" t="n">
        <x:v>1.26</x:v>
      </x:c>
      <x:c r="J69" s="24" t="n">
        <x:v>9.6</x:v>
      </x:c>
      <x:c r="K69" s="24" t="n">
        <x:v>307</x:v>
      </x:c>
      <x:c r="L69" s="5" t="str">
        <x:v>kJ</x:v>
      </x:c>
      <x:c r="M69" s="5" t="str">
        <x:v>https://www.nin.res.in/ebooks/IFCT2017.pdf#page=52</x:v>
      </x:c>
      <x:c r="N69" s="5" t="str">
        <x:v>Table 1; PDF page 52</x:v>
      </x:c>
      <x:c r="O69" s="5" t="str">
        <x:v>Available carbs + fibre; energy / 4.184. Original PDF values.</x:v>
      </x:c>
      <x:c r="P69" s="5" t="str">
        <x:v>No verified household weight. Use edible grams.</x:v>
      </x:c>
    </x:row>
    <x:row r="70" ht="64" customHeight="1">
      <x:c r="A70" s="7" t="str">
        <x:v>Carbohydrate Sources</x:v>
      </x:c>
      <x:c r="B70" s="7" t="n">
        <x:v>55</x:v>
      </x:c>
      <x:c r="C70" s="7" t="str">
        <x:v>Tamarind / imli pulp</x:v>
      </x:c>
      <x:c r="D70" s="7" t="str">
        <x:v>ICMR-NIN IFCT 2017</x:v>
      </x:c>
      <x:c r="E70" s="7" t="str">
        <x:v>E064</x:v>
      </x:c>
      <x:c r="F70" s="7" t="str">
        <x:v>Tamarind, pulp</x:v>
      </x:c>
      <x:c r="G70" s="26" t="n">
        <x:v>2.92</x:v>
      </x:c>
      <x:c r="H70" s="26" t="n">
        <x:v>67.35</x:v>
      </x:c>
      <x:c r="I70" s="26" t="n">
        <x:v>0.15</x:v>
      </x:c>
      <x:c r="J70" s="26" t="n">
        <x:v>5.31</x:v>
      </x:c>
      <x:c r="K70" s="26" t="n">
        <x:v>1207</x:v>
      </x:c>
      <x:c r="L70" s="7" t="str">
        <x:v>kJ</x:v>
      </x:c>
      <x:c r="M70" s="7" t="str">
        <x:v>https://www.nin.res.in/ebooks/IFCT2017.pdf#page=52</x:v>
      </x:c>
      <x:c r="N70" s="7" t="str">
        <x:v>Table 1; PDF page 52</x:v>
      </x:c>
      <x:c r="O70" s="7" t="str">
        <x:v>Available carbs + fibre; energy / 4.184. Original PDF values.</x:v>
      </x:c>
      <x:c r="P70" s="7" t="str">
        <x:v>No verified household weight. Use edible grams.</x:v>
      </x:c>
    </x:row>
    <x:row r="71" ht="64" customHeight="1">
      <x:c r="A71" s="5" t="str">
        <x:v>Carbohydrate Sources</x:v>
      </x:c>
      <x:c r="B71" s="5" t="n">
        <x:v>56</x:v>
      </x:c>
      <x:c r="C71" s="5" t="str">
        <x:v>Arbi / colocasia, raw, edible portion</x:v>
      </x:c>
      <x:c r="D71" s="5" t="str">
        <x:v>ICMR-NIN IFCT 2017</x:v>
      </x:c>
      <x:c r="E71" s="5" t="str">
        <x:v>F004</x:v>
      </x:c>
      <x:c r="F71" s="5" t="str">
        <x:v>Colocasia</x:v>
      </x:c>
      <x:c r="G71" s="24" t="n">
        <x:v>3.31</x:v>
      </x:c>
      <x:c r="H71" s="24" t="n">
        <x:v>17.85</x:v>
      </x:c>
      <x:c r="I71" s="24" t="n">
        <x:v>0.17</x:v>
      </x:c>
      <x:c r="J71" s="24" t="n">
        <x:v>3.22</x:v>
      </x:c>
      <x:c r="K71" s="24" t="n">
        <x:v>372</x:v>
      </x:c>
      <x:c r="L71" s="5" t="str">
        <x:v>kJ</x:v>
      </x:c>
      <x:c r="M71" s="5" t="str">
        <x:v>https://www.nin.res.in/ebooks/IFCT2017.pdf#page=52</x:v>
      </x:c>
      <x:c r="N71" s="5" t="str">
        <x:v>Table 1; PDF page 52</x:v>
      </x:c>
      <x:c r="O71" s="5" t="str">
        <x:v>Available carbs + fibre; energy / 4.184. Original PDF values.</x:v>
      </x:c>
      <x:c r="P71" s="5" t="str">
        <x:v>No verified household weight. Use edible grams.</x:v>
      </x:c>
    </x:row>
    <x:row r="72" ht="64" customHeight="1">
      <x:c r="A72" s="7" t="str">
        <x:v>Carbohydrate Sources</x:v>
      </x:c>
      <x:c r="B72" s="7" t="n">
        <x:v>57</x:v>
      </x:c>
      <x:c r="C72" s="7" t="str">
        <x:v>Lotus root / kamal kakdi, raw</x:v>
      </x:c>
      <x:c r="D72" s="7" t="str">
        <x:v>ICMR-NIN IFCT 2017</x:v>
      </x:c>
      <x:c r="E72" s="7" t="str">
        <x:v>F005</x:v>
      </x:c>
      <x:c r="F72" s="7" t="str">
        <x:v>Lotus root</x:v>
      </x:c>
      <x:c r="G72" s="26" t="n">
        <x:v>1.94</x:v>
      </x:c>
      <x:c r="H72" s="26" t="n">
        <x:v>14.67</x:v>
      </x:c>
      <x:c r="I72" s="26" t="n">
        <x:v>0.93</x:v>
      </x:c>
      <x:c r="J72" s="26" t="n">
        <x:v>4.7</x:v>
      </x:c>
      <x:c r="K72" s="26" t="n">
        <x:v>332</x:v>
      </x:c>
      <x:c r="L72" s="7" t="str">
        <x:v>kJ</x:v>
      </x:c>
      <x:c r="M72" s="7" t="str">
        <x:v>https://www.nin.res.in/ebooks/IFCT2017.pdf#page=52</x:v>
      </x:c>
      <x:c r="N72" s="7" t="str">
        <x:v>Table 1; PDF page 52</x:v>
      </x:c>
      <x:c r="O72" s="7" t="str">
        <x:v>Available carbs + fibre; energy / 4.184. Original PDF values.</x:v>
      </x:c>
      <x:c r="P72" s="7" t="str">
        <x:v>No verified household weight. Use edible grams.</x:v>
      </x:c>
    </x:row>
    <x:row r="73" ht="64" customHeight="1">
      <x:c r="A73" s="5" t="str">
        <x:v>Carbohydrate Sources</x:v>
      </x:c>
      <x:c r="B73" s="5" t="n">
        <x:v>58</x:v>
      </x:c>
      <x:c r="C73" s="5" t="str">
        <x:v>Potato, brown skin variety, raw, edible portion</x:v>
      </x:c>
      <x:c r="D73" s="5" t="str">
        <x:v>ICMR-NIN IFCT 2017</x:v>
      </x:c>
      <x:c r="E73" s="5" t="str">
        <x:v>F006</x:v>
      </x:c>
      <x:c r="F73" s="5" t="str">
        <x:v>Potato, brown skin, big</x:v>
      </x:c>
      <x:c r="G73" s="24" t="n">
        <x:v>1.54</x:v>
      </x:c>
      <x:c r="H73" s="24" t="n">
        <x:v>14.89</x:v>
      </x:c>
      <x:c r="I73" s="24" t="n">
        <x:v>0.23</x:v>
      </x:c>
      <x:c r="J73" s="24" t="n">
        <x:v>1.71</x:v>
      </x:c>
      <x:c r="K73" s="24" t="n">
        <x:v>292</x:v>
      </x:c>
      <x:c r="L73" s="5" t="str">
        <x:v>kJ</x:v>
      </x:c>
      <x:c r="M73" s="5" t="str">
        <x:v>https://www.nin.res.in/ebooks/IFCT2017.pdf#page=52</x:v>
      </x:c>
      <x:c r="N73" s="5" t="str">
        <x:v>Table 1; PDF page 52</x:v>
      </x:c>
      <x:c r="O73" s="5" t="str">
        <x:v>Available carbs + fibre; energy / 4.184. Original PDF values.</x:v>
      </x:c>
      <x:c r="P73" s="5" t="str">
        <x:v>No verified household weight. Use edible grams.</x:v>
      </x:c>
    </x:row>
    <x:row r="74" ht="64" customHeight="1">
      <x:c r="A74" s="7" t="str">
        <x:v>Carbohydrate Sources</x:v>
      </x:c>
      <x:c r="B74" s="7" t="n">
        <x:v>59</x:v>
      </x:c>
      <x:c r="C74" s="7" t="str">
        <x:v>Sweet potato, brown skin variety, raw</x:v>
      </x:c>
      <x:c r="D74" s="7" t="str">
        <x:v>ICMR-NIN IFCT 2017</x:v>
      </x:c>
      <x:c r="E74" s="7" t="str">
        <x:v>F013</x:v>
      </x:c>
      <x:c r="F74" s="7" t="str">
        <x:v>Sweet potato, brown skin</x:v>
      </x:c>
      <x:c r="G74" s="26" t="n">
        <x:v>1.33</x:v>
      </x:c>
      <x:c r="H74" s="26" t="n">
        <x:v>24.25</x:v>
      </x:c>
      <x:c r="I74" s="26" t="n">
        <x:v>0.26</x:v>
      </x:c>
      <x:c r="J74" s="26" t="n">
        <x:v>3.99</x:v>
      </x:c>
      <x:c r="K74" s="26" t="n">
        <x:v>456</x:v>
      </x:c>
      <x:c r="L74" s="7" t="str">
        <x:v>kJ</x:v>
      </x:c>
      <x:c r="M74" s="7" t="str">
        <x:v>https://www.nin.res.in/ebooks/IFCT2017.pdf#page=53</x:v>
      </x:c>
      <x:c r="N74" s="7" t="str">
        <x:v>Table 1; PDF page 53</x:v>
      </x:c>
      <x:c r="O74" s="7" t="str">
        <x:v>Available carbs + fibre; energy / 4.184. Original PDF values.</x:v>
      </x:c>
      <x:c r="P74" s="7" t="str">
        <x:v>No verified household weight. Use edible grams.</x:v>
      </x:c>
    </x:row>
    <x:row r="75" ht="64" customHeight="1">
      <x:c r="A75" s="5" t="str">
        <x:v>Carbohydrate Sources</x:v>
      </x:c>
      <x:c r="B75" s="5" t="n">
        <x:v>60</x:v>
      </x:c>
      <x:c r="C75" s="5" t="str">
        <x:v>Cassava / tapioca root, raw</x:v>
      </x:c>
      <x:c r="D75" s="5" t="str">
        <x:v>ICMR-NIN IFCT 2017</x:v>
      </x:c>
      <x:c r="E75" s="5" t="str">
        <x:v>F015</x:v>
      </x:c>
      <x:c r="F75" s="5" t="str">
        <x:v>Tapioca</x:v>
      </x:c>
      <x:c r="G75" s="24" t="n">
        <x:v>1.03</x:v>
      </x:c>
      <x:c r="H75" s="24" t="n">
        <x:v>17.81</x:v>
      </x:c>
      <x:c r="I75" s="24" t="n">
        <x:v>0.2</x:v>
      </x:c>
      <x:c r="J75" s="24" t="n">
        <x:v>4.61</x:v>
      </x:c>
      <x:c r="K75" s="24" t="n">
        <x:v>334</x:v>
      </x:c>
      <x:c r="L75" s="5" t="str">
        <x:v>kJ</x:v>
      </x:c>
      <x:c r="M75" s="5" t="str">
        <x:v>https://www.nin.res.in/ebooks/IFCT2017.pdf#page=53</x:v>
      </x:c>
      <x:c r="N75" s="5" t="str">
        <x:v>Table 1; PDF page 53</x:v>
      </x:c>
      <x:c r="O75" s="5" t="str">
        <x:v>Available carbs + fibre; energy / 4.184. Original PDF values.</x:v>
      </x:c>
      <x:c r="P75" s="5" t="str">
        <x:v>No verified household weight. Use edible grams.</x:v>
      </x:c>
    </x:row>
    <x:row r="76" ht="64" customHeight="1">
      <x:c r="A76" s="7" t="str">
        <x:v>Carbohydrate Sources</x:v>
      </x:c>
      <x:c r="B76" s="7" t="n">
        <x:v>61</x:v>
      </x:c>
      <x:c r="C76" s="7" t="str">
        <x:v>Water chestnut / singhara, fresh, edible portion</x:v>
      </x:c>
      <x:c r="D76" s="7" t="str">
        <x:v>ICMR-NIN IFCT 2017</x:v>
      </x:c>
      <x:c r="E76" s="7" t="str">
        <x:v>F016</x:v>
      </x:c>
      <x:c r="F76" s="7" t="str">
        <x:v>Water Chestnut</x:v>
      </x:c>
      <x:c r="G76" s="26" t="n">
        <x:v>0.86</x:v>
      </x:c>
      <x:c r="H76" s="26" t="n">
        <x:v>21.46</x:v>
      </x:c>
      <x:c r="I76" s="26" t="n">
        <x:v>0.37</x:v>
      </x:c>
      <x:c r="J76" s="26" t="n">
        <x:v>3.02</x:v>
      </x:c>
      <x:c r="K76" s="26" t="n">
        <x:v>400</x:v>
      </x:c>
      <x:c r="L76" s="7" t="str">
        <x:v>kJ</x:v>
      </x:c>
      <x:c r="M76" s="7" t="str">
        <x:v>https://www.nin.res.in/ebooks/IFCT2017.pdf#page=53</x:v>
      </x:c>
      <x:c r="N76" s="7" t="str">
        <x:v>Table 1; PDF page 53</x:v>
      </x:c>
      <x:c r="O76" s="7" t="str">
        <x:v>Available carbs + fibre; energy / 4.184. Original PDF values.</x:v>
      </x:c>
      <x:c r="P76" s="7" t="str">
        <x:v>No verified household weight. Use edible grams.</x:v>
      </x:c>
    </x:row>
    <x:row r="77" ht="64" customHeight="1">
      <x:c r="A77" s="5" t="str">
        <x:v>Carbohydrate Sources</x:v>
      </x:c>
      <x:c r="B77" s="5" t="n">
        <x:v>62</x:v>
      </x:c>
      <x:c r="C77" s="5" t="str">
        <x:v>Elephant foot yam / suran, raw</x:v>
      </x:c>
      <x:c r="D77" s="5" t="str">
        <x:v>ICMR-NIN IFCT 2017</x:v>
      </x:c>
      <x:c r="E77" s="5" t="str">
        <x:v>F017</x:v>
      </x:c>
      <x:c r="F77" s="5" t="str">
        <x:v>Yam, elephant</x:v>
      </x:c>
      <x:c r="G77" s="24" t="n">
        <x:v>2.56</x:v>
      </x:c>
      <x:c r="H77" s="24" t="n">
        <x:v>17.46</x:v>
      </x:c>
      <x:c r="I77" s="24" t="n">
        <x:v>0.14</x:v>
      </x:c>
      <x:c r="J77" s="24" t="n">
        <x:v>4.17</x:v>
      </x:c>
      <x:c r="K77" s="24" t="n">
        <x:v>353</x:v>
      </x:c>
      <x:c r="L77" s="5" t="str">
        <x:v>kJ</x:v>
      </x:c>
      <x:c r="M77" s="5" t="str">
        <x:v>https://www.nin.res.in/ebooks/IFCT2017.pdf#page=53</x:v>
      </x:c>
      <x:c r="N77" s="5" t="str">
        <x:v>Table 1; PDF page 53</x:v>
      </x:c>
      <x:c r="O77" s="5" t="str">
        <x:v>Available carbs + fibre; energy / 4.184. Original PDF values.</x:v>
      </x:c>
      <x:c r="P77" s="5" t="str">
        <x:v>No verified household weight. Use edible grams.</x:v>
      </x:c>
    </x:row>
    <x:row r="78" ht="64" customHeight="1">
      <x:c r="A78" s="7" t="str">
        <x:v>Carbohydrate Sources</x:v>
      </x:c>
      <x:c r="B78" s="7" t="n">
        <x:v>63</x:v>
      </x:c>
      <x:c r="C78" s="7" t="str">
        <x:v>Yam, ordinary, raw</x:v>
      </x:c>
      <x:c r="D78" s="7" t="str">
        <x:v>ICMR-NIN IFCT 2017</x:v>
      </x:c>
      <x:c r="E78" s="7" t="str">
        <x:v>F018</x:v>
      </x:c>
      <x:c r="F78" s="7" t="str">
        <x:v>Yam, ordinary</x:v>
      </x:c>
      <x:c r="G78" s="26" t="n">
        <x:v>2.18</x:v>
      </x:c>
      <x:c r="H78" s="26" t="n">
        <x:v>17.65</x:v>
      </x:c>
      <x:c r="I78" s="26" t="n">
        <x:v>0.17</x:v>
      </x:c>
      <x:c r="J78" s="26" t="n">
        <x:v>4.08</x:v>
      </x:c>
      <x:c r="K78" s="26" t="n">
        <x:v>349</x:v>
      </x:c>
      <x:c r="L78" s="7" t="str">
        <x:v>kJ</x:v>
      </x:c>
      <x:c r="M78" s="7" t="str">
        <x:v>https://www.nin.res.in/ebooks/IFCT2017.pdf#page=53</x:v>
      </x:c>
      <x:c r="N78" s="7" t="str">
        <x:v>Table 1; PDF page 53</x:v>
      </x:c>
      <x:c r="O78" s="7" t="str">
        <x:v>Available carbs + fibre; energy / 4.184. Original PDF values.</x:v>
      </x:c>
      <x:c r="P78" s="7" t="str">
        <x:v>No verified household weight. Use edible grams.</x:v>
      </x:c>
    </x:row>
    <x:row r="79" ht="64" customHeight="1">
      <x:c r="A79" s="5" t="str">
        <x:v>Carbohydrate Sources</x:v>
      </x:c>
      <x:c r="B79" s="5" t="n">
        <x:v>64</x:v>
      </x:c>
      <x:c r="C79" s="5" t="str">
        <x:v>Cane jaggery / gur</x:v>
      </x:c>
      <x:c r="D79" s="5" t="str">
        <x:v>ICMR-NIN IFCT 2017</x:v>
      </x:c>
      <x:c r="E79" s="5" t="str">
        <x:v>I001</x:v>
      </x:c>
      <x:c r="F79" s="5" t="str">
        <x:v>Jaggery, cane</x:v>
      </x:c>
      <x:c r="G79" s="24" t="n">
        <x:v>1.85</x:v>
      </x:c>
      <x:c r="H79" s="24" t="n">
        <x:v>84.87</x:v>
      </x:c>
      <x:c r="I79" s="24" t="n">
        <x:v>0.16</x:v>
      </x:c>
      <x:c r="J79" s="24"/>
      <x:c r="K79" s="24" t="n">
        <x:v>1480</x:v>
      </x:c>
      <x:c r="L79" s="5" t="str">
        <x:v>kJ</x:v>
      </x:c>
      <x:c r="M79" s="5" t="str">
        <x:v>https://www.nin.res.in/ebooks/IFCT2017.pdf#page=56</x:v>
      </x:c>
      <x:c r="N79" s="5" t="str">
        <x:v>Table 1; PDF page 56</x:v>
      </x:c>
      <x:c r="O79" s="5" t="str">
        <x:v>Available carbs + fibre; energy / 4.184. Original PDF values.</x:v>
      </x:c>
      <x:c r="P79" s="5" t="str">
        <x:v>No verified household weight. Use edible grams.</x:v>
      </x:c>
    </x:row>
    <x:row r="80" ht="64" customHeight="1">
      <x:c r="A80" s="7" t="str">
        <x:v>Carbohydrate Sources</x:v>
      </x:c>
      <x:c r="B80" s="7" t="n">
        <x:v>65</x:v>
      </x:c>
      <x:c r="C80" s="7" t="str">
        <x:v>Rolled / quick oats, dry, unfortified</x:v>
      </x:c>
      <x:c r="D80" s="7" t="str">
        <x:v>USDA SR28 (2015)</x:v>
      </x:c>
      <x:c r="E80" s="7" t="str">
        <x:v>NDB 08120</x:v>
      </x:c>
      <x:c r="F80" s="7" t="str">
        <x:v>Cereals, oats, regular and quick, not fortified, dry</x:v>
      </x:c>
      <x:c r="G80" s="26" t="n">
        <x:v>13.15</x:v>
      </x:c>
      <x:c r="H80" s="26" t="n">
        <x:v>67.7</x:v>
      </x:c>
      <x:c r="I80" s="26" t="n">
        <x:v>6.52</x:v>
      </x:c>
      <x:c r="J80" s="26" t="n">
        <x:v>10.1</x:v>
      </x:c>
      <x:c r="K80" s="26" t="n">
        <x:v>379</x:v>
      </x:c>
      <x:c r="L80" s="7" t="str">
        <x:v>kcal</x:v>
      </x:c>
      <x:c r="M80" s="7" t="str">
        <x:v>https://fdc.nal.usda.gov/</x:v>
      </x:c>
      <x:c r="N80" s="7" t="str">
        <x:v>SR28 NDB 08120; nutrients 203,205,204,208</x:v>
      </x:c>
      <x:c r="O80" s="7" t="str">
        <x:v>USDA total carbohydrate. Generic composition; Indian brands and recipes can differ.</x:v>
      </x:c>
      <x:c r="P80" s="7" t="str">
        <x:v>USDA recorded household weights, edible grams; sizes and recipes vary.</x:v>
      </x:c>
    </x:row>
    <x:row r="81" ht="64" customHeight="1">
      <x:c r="A81" s="5" t="str">
        <x:v>Carbohydrate Sources</x:v>
      </x:c>
      <x:c r="B81" s="5" t="n">
        <x:v>66</x:v>
      </x:c>
      <x:c r="C81" s="5" t="str">
        <x:v>Oats, cooked in water, no salt</x:v>
      </x:c>
      <x:c r="D81" s="5" t="str">
        <x:v>USDA SR28 (2015)</x:v>
      </x:c>
      <x:c r="E81" s="5" t="str">
        <x:v>NDB 08121</x:v>
      </x:c>
      <x:c r="F81" s="5" t="str">
        <x:v>Cereals, oats, regular and quick, unenriched, cooked with water (includes boiling and microwaving), without salt</x:v>
      </x:c>
      <x:c r="G81" s="24" t="n">
        <x:v>2.54</x:v>
      </x:c>
      <x:c r="H81" s="24" t="n">
        <x:v>12</x:v>
      </x:c>
      <x:c r="I81" s="24" t="n">
        <x:v>1.52</x:v>
      </x:c>
      <x:c r="J81" s="24" t="n">
        <x:v>1.7</x:v>
      </x:c>
      <x:c r="K81" s="24" t="n">
        <x:v>71</x:v>
      </x:c>
      <x:c r="L81" s="5" t="str">
        <x:v>kcal</x:v>
      </x:c>
      <x:c r="M81" s="5" t="str">
        <x:v>https://fdc.nal.usda.gov/</x:v>
      </x:c>
      <x:c r="N81" s="5" t="str">
        <x:v>SR28 NDB 08121; nutrients 203,205,204,208</x:v>
      </x:c>
      <x:c r="O81" s="5" t="str">
        <x:v>USDA total carbohydrate. Generic composition; Indian brands and recipes can differ.</x:v>
      </x:c>
      <x:c r="P81" s="5" t="str">
        <x:v>USDA recorded household weights, edible grams; sizes and recipes vary.</x:v>
      </x:c>
    </x:row>
    <x:row r="82" ht="64" customHeight="1">
      <x:c r="A82" s="7" t="str">
        <x:v>Carbohydrate Sources</x:v>
      </x:c>
      <x:c r="B82" s="7" t="n">
        <x:v>67</x:v>
      </x:c>
      <x:c r="C82" s="7" t="str">
        <x:v>White long-grain rice, cooked, enriched</x:v>
      </x:c>
      <x:c r="D82" s="7" t="str">
        <x:v>USDA SR28 (2015)</x:v>
      </x:c>
      <x:c r="E82" s="7" t="str">
        <x:v>NDB 20045</x:v>
      </x:c>
      <x:c r="F82" s="7" t="str">
        <x:v>Rice, white, long-grain, regular, enriched, cooked</x:v>
      </x:c>
      <x:c r="G82" s="26" t="n">
        <x:v>2.69</x:v>
      </x:c>
      <x:c r="H82" s="26" t="n">
        <x:v>28.17</x:v>
      </x:c>
      <x:c r="I82" s="26" t="n">
        <x:v>0.28</x:v>
      </x:c>
      <x:c r="J82" s="26" t="n">
        <x:v>0.4</x:v>
      </x:c>
      <x:c r="K82" s="26" t="n">
        <x:v>130</x:v>
      </x:c>
      <x:c r="L82" s="7" t="str">
        <x:v>kcal</x:v>
      </x:c>
      <x:c r="M82" s="7" t="str">
        <x:v>https://fdc.nal.usda.gov/</x:v>
      </x:c>
      <x:c r="N82" s="7" t="str">
        <x:v>SR28 NDB 20045; nutrients 203,205,204,208</x:v>
      </x:c>
      <x:c r="O82" s="7" t="str">
        <x:v>USDA total carbohydrate. Generic composition; Indian brands and recipes can differ.</x:v>
      </x:c>
      <x:c r="P82" s="7" t="str">
        <x:v>USDA recorded household weights, edible grams; sizes and recipes vary.</x:v>
      </x:c>
    </x:row>
    <x:row r="83" ht="64" customHeight="1">
      <x:c r="A83" s="5" t="str">
        <x:v>Carbohydrate Sources</x:v>
      </x:c>
      <x:c r="B83" s="5" t="n">
        <x:v>68</x:v>
      </x:c>
      <x:c r="C83" s="5" t="str">
        <x:v>Brown long-grain rice, cooked</x:v>
      </x:c>
      <x:c r="D83" s="5" t="str">
        <x:v>USDA SR28 (2015)</x:v>
      </x:c>
      <x:c r="E83" s="5" t="str">
        <x:v>NDB 20037</x:v>
      </x:c>
      <x:c r="F83" s="5" t="str">
        <x:v>Rice, brown, long-grain, cooked</x:v>
      </x:c>
      <x:c r="G83" s="24" t="n">
        <x:v>2.74</x:v>
      </x:c>
      <x:c r="H83" s="24" t="n">
        <x:v>25.58</x:v>
      </x:c>
      <x:c r="I83" s="24" t="n">
        <x:v>0.97</x:v>
      </x:c>
      <x:c r="J83" s="24" t="n">
        <x:v>1.6</x:v>
      </x:c>
      <x:c r="K83" s="24" t="n">
        <x:v>123</x:v>
      </x:c>
      <x:c r="L83" s="5" t="str">
        <x:v>kcal</x:v>
      </x:c>
      <x:c r="M83" s="5" t="str">
        <x:v>https://fdc.nal.usda.gov/</x:v>
      </x:c>
      <x:c r="N83" s="5" t="str">
        <x:v>SR28 NDB 20037; nutrients 203,205,204,208</x:v>
      </x:c>
      <x:c r="O83" s="5" t="str">
        <x:v>USDA total carbohydrate. Generic composition; Indian brands and recipes can differ.</x:v>
      </x:c>
      <x:c r="P83" s="5" t="str">
        <x:v>USDA recorded household weights, edible grams; sizes and recipes vary.</x:v>
      </x:c>
    </x:row>
    <x:row r="84" ht="64" customHeight="1">
      <x:c r="A84" s="7" t="str">
        <x:v>Carbohydrate Sources</x:v>
      </x:c>
      <x:c r="B84" s="7" t="n">
        <x:v>69</x:v>
      </x:c>
      <x:c r="C84" s="7" t="str">
        <x:v>Parboiled white long-grain rice, cooked, enriched</x:v>
      </x:c>
      <x:c r="D84" s="7" t="str">
        <x:v>USDA SR28 (2015)</x:v>
      </x:c>
      <x:c r="E84" s="7" t="str">
        <x:v>NDB 20047</x:v>
      </x:c>
      <x:c r="F84" s="7" t="str">
        <x:v>Rice, white, long-grain, parboiled, enriched, cooked</x:v>
      </x:c>
      <x:c r="G84" s="26" t="n">
        <x:v>2.91</x:v>
      </x:c>
      <x:c r="H84" s="26" t="n">
        <x:v>26.05</x:v>
      </x:c>
      <x:c r="I84" s="26" t="n">
        <x:v>0.37</x:v>
      </x:c>
      <x:c r="J84" s="26" t="n">
        <x:v>0.9</x:v>
      </x:c>
      <x:c r="K84" s="26" t="n">
        <x:v>123</x:v>
      </x:c>
      <x:c r="L84" s="7" t="str">
        <x:v>kcal</x:v>
      </x:c>
      <x:c r="M84" s="7" t="str">
        <x:v>https://fdc.nal.usda.gov/</x:v>
      </x:c>
      <x:c r="N84" s="7" t="str">
        <x:v>SR28 NDB 20047; nutrients 203,205,204,208</x:v>
      </x:c>
      <x:c r="O84" s="7" t="str">
        <x:v>USDA total carbohydrate. Generic composition; Indian brands and recipes can differ.</x:v>
      </x:c>
      <x:c r="P84" s="7" t="str">
        <x:v>USDA recorded household weights, edible grams; sizes and recipes vary.</x:v>
      </x:c>
    </x:row>
    <x:row r="85" ht="64" customHeight="1">
      <x:c r="A85" s="5" t="str">
        <x:v>Carbohydrate Sources</x:v>
      </x:c>
      <x:c r="B85" s="5" t="n">
        <x:v>70</x:v>
      </x:c>
      <x:c r="C85" s="5" t="str">
        <x:v>Quinoa, cooked</x:v>
      </x:c>
      <x:c r="D85" s="5" t="str">
        <x:v>USDA SR28 (2015)</x:v>
      </x:c>
      <x:c r="E85" s="5" t="str">
        <x:v>NDB 20137</x:v>
      </x:c>
      <x:c r="F85" s="5" t="str">
        <x:v>Quinoa, cooked</x:v>
      </x:c>
      <x:c r="G85" s="24" t="n">
        <x:v>4.4</x:v>
      </x:c>
      <x:c r="H85" s="24" t="n">
        <x:v>21.3</x:v>
      </x:c>
      <x:c r="I85" s="24" t="n">
        <x:v>1.92</x:v>
      </x:c>
      <x:c r="J85" s="24" t="n">
        <x:v>2.8</x:v>
      </x:c>
      <x:c r="K85" s="24" t="n">
        <x:v>120</x:v>
      </x:c>
      <x:c r="L85" s="5" t="str">
        <x:v>kcal</x:v>
      </x:c>
      <x:c r="M85" s="5" t="str">
        <x:v>https://fdc.nal.usda.gov/</x:v>
      </x:c>
      <x:c r="N85" s="5" t="str">
        <x:v>SR28 NDB 20137; nutrients 203,205,204,208</x:v>
      </x:c>
      <x:c r="O85" s="5" t="str">
        <x:v>USDA total carbohydrate. Generic composition; Indian brands and recipes can differ.</x:v>
      </x:c>
      <x:c r="P85" s="5" t="str">
        <x:v>USDA recorded household weights, edible grams; sizes and recipes vary.</x:v>
      </x:c>
    </x:row>
    <x:row r="86" ht="64" customHeight="1">
      <x:c r="A86" s="7" t="str">
        <x:v>Carbohydrate Sources</x:v>
      </x:c>
      <x:c r="B86" s="7" t="n">
        <x:v>71</x:v>
      </x:c>
      <x:c r="C86" s="7" t="str">
        <x:v>Pearled barley, cooked</x:v>
      </x:c>
      <x:c r="D86" s="7" t="str">
        <x:v>USDA SR28 (2015)</x:v>
      </x:c>
      <x:c r="E86" s="7" t="str">
        <x:v>NDB 20006</x:v>
      </x:c>
      <x:c r="F86" s="7" t="str">
        <x:v>Barley, pearled, cooked</x:v>
      </x:c>
      <x:c r="G86" s="26" t="n">
        <x:v>2.26</x:v>
      </x:c>
      <x:c r="H86" s="26" t="n">
        <x:v>28.22</x:v>
      </x:c>
      <x:c r="I86" s="26" t="n">
        <x:v>0.44</x:v>
      </x:c>
      <x:c r="J86" s="26" t="n">
        <x:v>3.8</x:v>
      </x:c>
      <x:c r="K86" s="26" t="n">
        <x:v>123</x:v>
      </x:c>
      <x:c r="L86" s="7" t="str">
        <x:v>kcal</x:v>
      </x:c>
      <x:c r="M86" s="7" t="str">
        <x:v>https://fdc.nal.usda.gov/</x:v>
      </x:c>
      <x:c r="N86" s="7" t="str">
        <x:v>SR28 NDB 20006; nutrients 203,205,204,208</x:v>
      </x:c>
      <x:c r="O86" s="7" t="str">
        <x:v>USDA total carbohydrate. Generic composition; Indian brands and recipes can differ.</x:v>
      </x:c>
      <x:c r="P86" s="7" t="str">
        <x:v>USDA recorded household weights, edible grams; sizes and recipes vary.</x:v>
      </x:c>
    </x:row>
    <x:row r="87" ht="64" customHeight="1">
      <x:c r="A87" s="5" t="str">
        <x:v>Carbohydrate Sources</x:v>
      </x:c>
      <x:c r="B87" s="5" t="n">
        <x:v>72</x:v>
      </x:c>
      <x:c r="C87" s="5" t="str">
        <x:v>Bulgur / daliya, cooked</x:v>
      </x:c>
      <x:c r="D87" s="5" t="str">
        <x:v>USDA SR28 (2015)</x:v>
      </x:c>
      <x:c r="E87" s="5" t="str">
        <x:v>NDB 20013</x:v>
      </x:c>
      <x:c r="F87" s="5" t="str">
        <x:v>Bulgur, cooked</x:v>
      </x:c>
      <x:c r="G87" s="24" t="n">
        <x:v>3.08</x:v>
      </x:c>
      <x:c r="H87" s="24" t="n">
        <x:v>18.58</x:v>
      </x:c>
      <x:c r="I87" s="24" t="n">
        <x:v>0.24</x:v>
      </x:c>
      <x:c r="J87" s="24" t="n">
        <x:v>4.5</x:v>
      </x:c>
      <x:c r="K87" s="24" t="n">
        <x:v>83</x:v>
      </x:c>
      <x:c r="L87" s="5" t="str">
        <x:v>kcal</x:v>
      </x:c>
      <x:c r="M87" s="5" t="str">
        <x:v>https://fdc.nal.usda.gov/</x:v>
      </x:c>
      <x:c r="N87" s="5" t="str">
        <x:v>SR28 NDB 20013; nutrients 203,205,204,208</x:v>
      </x:c>
      <x:c r="O87" s="5" t="str">
        <x:v>USDA total carbohydrate. Generic composition; Indian brands and recipes can differ.</x:v>
      </x:c>
      <x:c r="P87" s="5" t="str">
        <x:v>USDA recorded household weights, edible grams; sizes and recipes vary.</x:v>
      </x:c>
    </x:row>
    <x:row r="88" ht="64" customHeight="1">
      <x:c r="A88" s="7" t="str">
        <x:v>Carbohydrate Sources</x:v>
      </x:c>
      <x:c r="B88" s="7" t="n">
        <x:v>73</x:v>
      </x:c>
      <x:c r="C88" s="7" t="str">
        <x:v>Amaranth / rajgira grain, cooked</x:v>
      </x:c>
      <x:c r="D88" s="7" t="str">
        <x:v>USDA SR28 (2015)</x:v>
      </x:c>
      <x:c r="E88" s="7" t="str">
        <x:v>NDB 20002</x:v>
      </x:c>
      <x:c r="F88" s="7" t="str">
        <x:v>Amaranth grain, cooked</x:v>
      </x:c>
      <x:c r="G88" s="26" t="n">
        <x:v>3.8</x:v>
      </x:c>
      <x:c r="H88" s="26" t="n">
        <x:v>18.69</x:v>
      </x:c>
      <x:c r="I88" s="26" t="n">
        <x:v>1.58</x:v>
      </x:c>
      <x:c r="J88" s="26" t="n">
        <x:v>2.1</x:v>
      </x:c>
      <x:c r="K88" s="26" t="n">
        <x:v>102</x:v>
      </x:c>
      <x:c r="L88" s="7" t="str">
        <x:v>kcal</x:v>
      </x:c>
      <x:c r="M88" s="7" t="str">
        <x:v>https://fdc.nal.usda.gov/</x:v>
      </x:c>
      <x:c r="N88" s="7" t="str">
        <x:v>SR28 NDB 20002; nutrients 203,205,204,208</x:v>
      </x:c>
      <x:c r="O88" s="7" t="str">
        <x:v>USDA total carbohydrate. Generic composition; Indian brands and recipes can differ.</x:v>
      </x:c>
      <x:c r="P88" s="7" t="str">
        <x:v>USDA recorded household weights, edible grams; sizes and recipes vary.</x:v>
      </x:c>
    </x:row>
    <x:row r="89" ht="64" customHeight="1">
      <x:c r="A89" s="5" t="str">
        <x:v>Carbohydrate Sources</x:v>
      </x:c>
      <x:c r="B89" s="5" t="n">
        <x:v>74</x:v>
      </x:c>
      <x:c r="C89" s="5" t="str">
        <x:v>Buckwheat / kuttu, grain, dry</x:v>
      </x:c>
      <x:c r="D89" s="5" t="str">
        <x:v>USDA SR28 (2015)</x:v>
      </x:c>
      <x:c r="E89" s="5" t="str">
        <x:v>NDB 20008</x:v>
      </x:c>
      <x:c r="F89" s="5" t="str">
        <x:v>Buckwheat</x:v>
      </x:c>
      <x:c r="G89" s="24" t="n">
        <x:v>13.25</x:v>
      </x:c>
      <x:c r="H89" s="24" t="n">
        <x:v>71.5</x:v>
      </x:c>
      <x:c r="I89" s="24" t="n">
        <x:v>3.4</x:v>
      </x:c>
      <x:c r="J89" s="24" t="n">
        <x:v>10</x:v>
      </x:c>
      <x:c r="K89" s="24" t="n">
        <x:v>343</x:v>
      </x:c>
      <x:c r="L89" s="5" t="str">
        <x:v>kcal</x:v>
      </x:c>
      <x:c r="M89" s="5" t="str">
        <x:v>https://fdc.nal.usda.gov/</x:v>
      </x:c>
      <x:c r="N89" s="5" t="str">
        <x:v>SR28 NDB 20008; nutrients 203,205,204,208</x:v>
      </x:c>
      <x:c r="O89" s="5" t="str">
        <x:v>USDA total carbohydrate. Generic composition; Indian brands and recipes can differ.</x:v>
      </x:c>
      <x:c r="P89" s="5" t="str">
        <x:v>USDA recorded household weights, edible grams; sizes and recipes vary.</x:v>
      </x:c>
    </x:row>
    <x:row r="90" ht="64" customHeight="1">
      <x:c r="A90" s="7" t="str">
        <x:v>Carbohydrate Sources</x:v>
      </x:c>
      <x:c r="B90" s="7" t="n">
        <x:v>75</x:v>
      </x:c>
      <x:c r="C90" s="7" t="str">
        <x:v>Buckwheat / kuttu flour, whole-groat, dry</x:v>
      </x:c>
      <x:c r="D90" s="7" t="str">
        <x:v>USDA SR28 (2015)</x:v>
      </x:c>
      <x:c r="E90" s="7" t="str">
        <x:v>NDB 20011</x:v>
      </x:c>
      <x:c r="F90" s="7" t="str">
        <x:v>Buckwheat flour, whole-groat</x:v>
      </x:c>
      <x:c r="G90" s="26" t="n">
        <x:v>12.62</x:v>
      </x:c>
      <x:c r="H90" s="26" t="n">
        <x:v>70.59</x:v>
      </x:c>
      <x:c r="I90" s="26" t="n">
        <x:v>3.1</x:v>
      </x:c>
      <x:c r="J90" s="26" t="n">
        <x:v>10</x:v>
      </x:c>
      <x:c r="K90" s="26" t="n">
        <x:v>335</x:v>
      </x:c>
      <x:c r="L90" s="7" t="str">
        <x:v>kcal</x:v>
      </x:c>
      <x:c r="M90" s="7" t="str">
        <x:v>https://fdc.nal.usda.gov/</x:v>
      </x:c>
      <x:c r="N90" s="7" t="str">
        <x:v>SR28 NDB 20011; nutrients 203,205,204,208</x:v>
      </x:c>
      <x:c r="O90" s="7" t="str">
        <x:v>USDA total carbohydrate. Generic composition; Indian brands and recipes can differ.</x:v>
      </x:c>
      <x:c r="P90" s="7" t="str">
        <x:v>USDA recorded household weights, edible grams; sizes and recipes vary.</x:v>
      </x:c>
    </x:row>
    <x:row r="91" ht="64" customHeight="1">
      <x:c r="A91" s="5" t="str">
        <x:v>Carbohydrate Sources</x:v>
      </x:c>
      <x:c r="B91" s="5" t="n">
        <x:v>76</x:v>
      </x:c>
      <x:c r="C91" s="5" t="str">
        <x:v>Sabudana / tapioca pearls, dry</x:v>
      </x:c>
      <x:c r="D91" s="5" t="str">
        <x:v>USDA SR28 (2015)</x:v>
      </x:c>
      <x:c r="E91" s="5" t="str">
        <x:v>NDB 20068</x:v>
      </x:c>
      <x:c r="F91" s="5" t="str">
        <x:v>Tapioca, pearl, dry</x:v>
      </x:c>
      <x:c r="G91" s="24" t="n">
        <x:v>0.19</x:v>
      </x:c>
      <x:c r="H91" s="24" t="n">
        <x:v>88.69</x:v>
      </x:c>
      <x:c r="I91" s="24" t="n">
        <x:v>0.02</x:v>
      </x:c>
      <x:c r="J91" s="24" t="n">
        <x:v>0.9</x:v>
      </x:c>
      <x:c r="K91" s="24" t="n">
        <x:v>358</x:v>
      </x:c>
      <x:c r="L91" s="5" t="str">
        <x:v>kcal</x:v>
      </x:c>
      <x:c r="M91" s="5" t="str">
        <x:v>https://fdc.nal.usda.gov/</x:v>
      </x:c>
      <x:c r="N91" s="5" t="str">
        <x:v>SR28 NDB 20068; nutrients 203,205,204,208</x:v>
      </x:c>
      <x:c r="O91" s="5" t="str">
        <x:v>USDA total carbohydrate. Generic composition; Indian brands and recipes can differ.</x:v>
      </x:c>
      <x:c r="P91" s="5" t="str">
        <x:v>USDA recorded household weights, edible grams; sizes and recipes vary.</x:v>
      </x:c>
    </x:row>
    <x:row r="92" ht="64" customHeight="1">
      <x:c r="A92" s="7" t="str">
        <x:v>Carbohydrate Sources</x:v>
      </x:c>
      <x:c r="B92" s="7" t="n">
        <x:v>77</x:v>
      </x:c>
      <x:c r="C92" s="7" t="str">
        <x:v>White rice flour, dry, unenriched</x:v>
      </x:c>
      <x:c r="D92" s="7" t="str">
        <x:v>USDA SR28 (2015)</x:v>
      </x:c>
      <x:c r="E92" s="7" t="str">
        <x:v>NDB 20061</x:v>
      </x:c>
      <x:c r="F92" s="7" t="str">
        <x:v>Rice flour, white, unenriched</x:v>
      </x:c>
      <x:c r="G92" s="26" t="n">
        <x:v>5.95</x:v>
      </x:c>
      <x:c r="H92" s="26" t="n">
        <x:v>80.13</x:v>
      </x:c>
      <x:c r="I92" s="26" t="n">
        <x:v>1.42</x:v>
      </x:c>
      <x:c r="J92" s="26" t="n">
        <x:v>2.4</x:v>
      </x:c>
      <x:c r="K92" s="26" t="n">
        <x:v>366</x:v>
      </x:c>
      <x:c r="L92" s="7" t="str">
        <x:v>kcal</x:v>
      </x:c>
      <x:c r="M92" s="7" t="str">
        <x:v>https://fdc.nal.usda.gov/</x:v>
      </x:c>
      <x:c r="N92" s="7" t="str">
        <x:v>SR28 NDB 20061; nutrients 203,205,204,208</x:v>
      </x:c>
      <x:c r="O92" s="7" t="str">
        <x:v>USDA total carbohydrate. Generic composition; Indian brands and recipes can differ.</x:v>
      </x:c>
      <x:c r="P92" s="7" t="str">
        <x:v>USDA recorded household weights, edible grams; sizes and recipes vary.</x:v>
      </x:c>
    </x:row>
    <x:row r="93" ht="64" customHeight="1">
      <x:c r="A93" s="5" t="str">
        <x:v>Carbohydrate Sources</x:v>
      </x:c>
      <x:c r="B93" s="5" t="n">
        <x:v>78</x:v>
      </x:c>
      <x:c r="C93" s="5" t="str">
        <x:v>Corn starch / white cornflour, dry</x:v>
      </x:c>
      <x:c r="D93" s="5" t="str">
        <x:v>USDA SR28 (2015)</x:v>
      </x:c>
      <x:c r="E93" s="5" t="str">
        <x:v>NDB 20027</x:v>
      </x:c>
      <x:c r="F93" s="5" t="str">
        <x:v>Cornstarch</x:v>
      </x:c>
      <x:c r="G93" s="24" t="n">
        <x:v>0.26</x:v>
      </x:c>
      <x:c r="H93" s="24" t="n">
        <x:v>91.27</x:v>
      </x:c>
      <x:c r="I93" s="24" t="n">
        <x:v>0.05</x:v>
      </x:c>
      <x:c r="J93" s="24" t="n">
        <x:v>0.9</x:v>
      </x:c>
      <x:c r="K93" s="24" t="n">
        <x:v>381</x:v>
      </x:c>
      <x:c r="L93" s="5" t="str">
        <x:v>kcal</x:v>
      </x:c>
      <x:c r="M93" s="5" t="str">
        <x:v>https://fdc.nal.usda.gov/</x:v>
      </x:c>
      <x:c r="N93" s="5" t="str">
        <x:v>SR28 NDB 20027; nutrients 203,205,204,208</x:v>
      </x:c>
      <x:c r="O93" s="5" t="str">
        <x:v>USDA total carbohydrate. Generic composition; Indian brands and recipes can differ.</x:v>
      </x:c>
      <x:c r="P93" s="5" t="str">
        <x:v>USDA recorded household weights, edible grams; sizes and recipes vary.</x:v>
      </x:c>
    </x:row>
    <x:row r="94" ht="64" customHeight="1">
      <x:c r="A94" s="7" t="str">
        <x:v>Carbohydrate Sources</x:v>
      </x:c>
      <x:c r="B94" s="7" t="n">
        <x:v>79</x:v>
      </x:c>
      <x:c r="C94" s="7" t="str">
        <x:v>Whole-wheat bread, commercial</x:v>
      </x:c>
      <x:c r="D94" s="7" t="str">
        <x:v>USDA SR28 (2015)</x:v>
      </x:c>
      <x:c r="E94" s="7" t="str">
        <x:v>NDB 18075</x:v>
      </x:c>
      <x:c r="F94" s="7" t="str">
        <x:v>Bread, whole-wheat, commercially prepared</x:v>
      </x:c>
      <x:c r="G94" s="26" t="n">
        <x:v>12.45</x:v>
      </x:c>
      <x:c r="H94" s="26" t="n">
        <x:v>42.71</x:v>
      </x:c>
      <x:c r="I94" s="26" t="n">
        <x:v>3.5</x:v>
      </x:c>
      <x:c r="J94" s="26" t="n">
        <x:v>6</x:v>
      </x:c>
      <x:c r="K94" s="26" t="n">
        <x:v>252</x:v>
      </x:c>
      <x:c r="L94" s="7" t="str">
        <x:v>kcal</x:v>
      </x:c>
      <x:c r="M94" s="7" t="str">
        <x:v>https://fdc.nal.usda.gov/</x:v>
      </x:c>
      <x:c r="N94" s="7" t="str">
        <x:v>SR28 NDB 18075; nutrients 203,205,204,208</x:v>
      </x:c>
      <x:c r="O94" s="7" t="str">
        <x:v>USDA total carbohydrate. Generic composition; Indian brands and recipes can differ.</x:v>
      </x:c>
      <x:c r="P94" s="7" t="str">
        <x:v>USDA recorded household weights, edible grams; sizes and recipes vary.</x:v>
      </x:c>
    </x:row>
    <x:row r="95" ht="64" customHeight="1">
      <x:c r="A95" s="5" t="str">
        <x:v>Carbohydrate Sources</x:v>
      </x:c>
      <x:c r="B95" s="5" t="n">
        <x:v>80</x:v>
      </x:c>
      <x:c r="C95" s="5" t="str">
        <x:v>White bread, commercial</x:v>
      </x:c>
      <x:c r="D95" s="5" t="str">
        <x:v>USDA SR28 (2015)</x:v>
      </x:c>
      <x:c r="E95" s="5" t="str">
        <x:v>NDB 18069</x:v>
      </x:c>
      <x:c r="F95" s="5" t="str">
        <x:v>Bread, white, commercially prepared (includes soft bread crumbs)</x:v>
      </x:c>
      <x:c r="G95" s="24" t="n">
        <x:v>8.85</x:v>
      </x:c>
      <x:c r="H95" s="24" t="n">
        <x:v>49.42</x:v>
      </x:c>
      <x:c r="I95" s="24" t="n">
        <x:v>3.33</x:v>
      </x:c>
      <x:c r="J95" s="24" t="n">
        <x:v>2.7</x:v>
      </x:c>
      <x:c r="K95" s="24" t="n">
        <x:v>266</x:v>
      </x:c>
      <x:c r="L95" s="5" t="str">
        <x:v>kcal</x:v>
      </x:c>
      <x:c r="M95" s="5" t="str">
        <x:v>https://fdc.nal.usda.gov/</x:v>
      </x:c>
      <x:c r="N95" s="5" t="str">
        <x:v>SR28 NDB 18069; nutrients 203,205,204,208</x:v>
      </x:c>
      <x:c r="O95" s="5" t="str">
        <x:v>USDA total carbohydrate. Generic composition; Indian brands and recipes can differ.</x:v>
      </x:c>
      <x:c r="P95" s="5" t="str">
        <x:v>USDA recorded household weights, edible grams; sizes and recipes vary.</x:v>
      </x:c>
    </x:row>
    <x:row r="96" ht="64" customHeight="1">
      <x:c r="A96" s="7" t="str">
        <x:v>Carbohydrate Sources</x:v>
      </x:c>
      <x:c r="B96" s="7" t="n">
        <x:v>81</x:v>
      </x:c>
      <x:c r="C96" s="7" t="str">
        <x:v>Multigrain bread, commercial</x:v>
      </x:c>
      <x:c r="D96" s="7" t="str">
        <x:v>USDA SR28 (2015)</x:v>
      </x:c>
      <x:c r="E96" s="7" t="str">
        <x:v>NDB 28397</x:v>
      </x:c>
      <x:c r="F96" s="7" t="str">
        <x:v>Bread, multi-grain (includes whole-grain)</x:v>
      </x:c>
      <x:c r="G96" s="26" t="n">
        <x:v>13.36</x:v>
      </x:c>
      <x:c r="H96" s="26" t="n">
        <x:v>43.34</x:v>
      </x:c>
      <x:c r="I96" s="26" t="n">
        <x:v>4.23</x:v>
      </x:c>
      <x:c r="J96" s="26" t="n">
        <x:v>7.4</x:v>
      </x:c>
      <x:c r="K96" s="26" t="n">
        <x:v>265</x:v>
      </x:c>
      <x:c r="L96" s="7" t="str">
        <x:v>kcal</x:v>
      </x:c>
      <x:c r="M96" s="7" t="str">
        <x:v>https://fdc.nal.usda.gov/</x:v>
      </x:c>
      <x:c r="N96" s="7" t="str">
        <x:v>SR28 NDB 28397; nutrients 203,205,204,208</x:v>
      </x:c>
      <x:c r="O96" s="7" t="str">
        <x:v>USDA total carbohydrate. Generic composition; Indian brands and recipes can differ.</x:v>
      </x:c>
      <x:c r="P96" s="7" t="str">
        <x:v>USDA recorded household weights, edible grams; sizes and recipes vary.</x:v>
      </x:c>
    </x:row>
    <x:row r="97" ht="64" customHeight="1">
      <x:c r="A97" s="5" t="str">
        <x:v>Carbohydrate Sources</x:v>
      </x:c>
      <x:c r="B97" s="5" t="n">
        <x:v>82</x:v>
      </x:c>
      <x:c r="C97" s="5" t="str">
        <x:v>Roti / chapati, plain, commercial recipe</x:v>
      </x:c>
      <x:c r="D97" s="5" t="str">
        <x:v>USDA SR28 (2015)</x:v>
      </x:c>
      <x:c r="E97" s="5" t="str">
        <x:v>NDB 28306</x:v>
      </x:c>
      <x:c r="F97" s="5" t="str">
        <x:v>Bread, chapati or roti, plain, commercially prepared</x:v>
      </x:c>
      <x:c r="G97" s="24" t="n">
        <x:v>11.25</x:v>
      </x:c>
      <x:c r="H97" s="24" t="n">
        <x:v>46.36</x:v>
      </x:c>
      <x:c r="I97" s="24" t="n">
        <x:v>7.45</x:v>
      </x:c>
      <x:c r="J97" s="24" t="n">
        <x:v>4.9</x:v>
      </x:c>
      <x:c r="K97" s="24" t="n">
        <x:v>297</x:v>
      </x:c>
      <x:c r="L97" s="5" t="str">
        <x:v>kcal</x:v>
      </x:c>
      <x:c r="M97" s="5" t="str">
        <x:v>https://fdc.nal.usda.gov/</x:v>
      </x:c>
      <x:c r="N97" s="5" t="str">
        <x:v>SR28 NDB 28306; nutrients 203,205,204,208</x:v>
      </x:c>
      <x:c r="O97" s="5" t="str">
        <x:v>USDA total carbohydrate. Generic composition; Indian brands and recipes can differ.</x:v>
      </x:c>
      <x:c r="P97" s="5" t="str">
        <x:v>USDA recorded household weights, edible grams; sizes and recipes vary.</x:v>
      </x:c>
    </x:row>
    <x:row r="98" ht="64" customHeight="1">
      <x:c r="A98" s="7" t="str">
        <x:v>Carbohydrate Sources</x:v>
      </x:c>
      <x:c r="B98" s="7" t="n">
        <x:v>83</x:v>
      </x:c>
      <x:c r="C98" s="7" t="str">
        <x:v>Naan, plain, commercial, refrigerated</x:v>
      </x:c>
      <x:c r="D98" s="7" t="str">
        <x:v>USDA SR28 (2015)</x:v>
      </x:c>
      <x:c r="E98" s="7" t="str">
        <x:v>NDB 28307</x:v>
      </x:c>
      <x:c r="F98" s="7" t="str">
        <x:v>Bread, naan, plain, commercially prepared, refrigerated</x:v>
      </x:c>
      <x:c r="G98" s="26" t="n">
        <x:v>9.62</x:v>
      </x:c>
      <x:c r="H98" s="26" t="n">
        <x:v>50.43</x:v>
      </x:c>
      <x:c r="I98" s="26" t="n">
        <x:v>5.65</x:v>
      </x:c>
      <x:c r="J98" s="26" t="n">
        <x:v>2.2</x:v>
      </x:c>
      <x:c r="K98" s="26" t="n">
        <x:v>291</x:v>
      </x:c>
      <x:c r="L98" s="7" t="str">
        <x:v>kcal</x:v>
      </x:c>
      <x:c r="M98" s="7" t="str">
        <x:v>https://fdc.nal.usda.gov/</x:v>
      </x:c>
      <x:c r="N98" s="7" t="str">
        <x:v>SR28 NDB 28307; nutrients 203,205,204,208</x:v>
      </x:c>
      <x:c r="O98" s="7" t="str">
        <x:v>USDA total carbohydrate. Generic composition; Indian brands and recipes can differ.</x:v>
      </x:c>
      <x:c r="P98" s="7" t="str">
        <x:v>USDA recorded household weights, edible grams; sizes and recipes vary.</x:v>
      </x:c>
    </x:row>
    <x:row r="99" ht="64" customHeight="1">
      <x:c r="A99" s="5" t="str">
        <x:v>Carbohydrate Sources</x:v>
      </x:c>
      <x:c r="B99" s="5" t="n">
        <x:v>84</x:v>
      </x:c>
      <x:c r="C99" s="5" t="str">
        <x:v>Whole-wheat paratha, commercial, frozen</x:v>
      </x:c>
      <x:c r="D99" s="5" t="str">
        <x:v>USDA SR28 (2015)</x:v>
      </x:c>
      <x:c r="E99" s="5" t="str">
        <x:v>NDB 28286</x:v>
      </x:c>
      <x:c r="F99" s="5" t="str">
        <x:v>Bread, paratha, whole wheat, commercially prepared, frozen</x:v>
      </x:c>
      <x:c r="G99" s="24" t="n">
        <x:v>6.36</x:v>
      </x:c>
      <x:c r="H99" s="24" t="n">
        <x:v>45.35</x:v>
      </x:c>
      <x:c r="I99" s="24" t="n">
        <x:v>13.2</x:v>
      </x:c>
      <x:c r="J99" s="24" t="n">
        <x:v>9.6</x:v>
      </x:c>
      <x:c r="K99" s="24" t="n">
        <x:v>326</x:v>
      </x:c>
      <x:c r="L99" s="5" t="str">
        <x:v>kcal</x:v>
      </x:c>
      <x:c r="M99" s="5" t="str">
        <x:v>https://fdc.nal.usda.gov/</x:v>
      </x:c>
      <x:c r="N99" s="5" t="str">
        <x:v>SR28 NDB 28286; nutrients 203,205,204,208</x:v>
      </x:c>
      <x:c r="O99" s="5" t="str">
        <x:v>USDA total carbohydrate. Generic composition; Indian brands and recipes can differ.</x:v>
      </x:c>
      <x:c r="P99" s="5" t="str">
        <x:v>USDA recorded household weights, edible grams; sizes and recipes vary.</x:v>
      </x:c>
    </x:row>
    <x:row r="100" ht="64" customHeight="1">
      <x:c r="A100" s="7" t="str">
        <x:v>Carbohydrate Sources</x:v>
      </x:c>
      <x:c r="B100" s="7" t="n">
        <x:v>85</x:v>
      </x:c>
      <x:c r="C100" s="7" t="str">
        <x:v>Pasta, dry, unenriched</x:v>
      </x:c>
      <x:c r="D100" s="7" t="str">
        <x:v>USDA SR28 (2015)</x:v>
      </x:c>
      <x:c r="E100" s="7" t="str">
        <x:v>NDB 20420</x:v>
      </x:c>
      <x:c r="F100" s="7" t="str">
        <x:v>Pasta, dry, unenriched</x:v>
      </x:c>
      <x:c r="G100" s="26" t="n">
        <x:v>13.04</x:v>
      </x:c>
      <x:c r="H100" s="26" t="n">
        <x:v>74.67</x:v>
      </x:c>
      <x:c r="I100" s="26" t="n">
        <x:v>1.51</x:v>
      </x:c>
      <x:c r="J100" s="26" t="n">
        <x:v>3.2</x:v>
      </x:c>
      <x:c r="K100" s="26" t="n">
        <x:v>371</x:v>
      </x:c>
      <x:c r="L100" s="7" t="str">
        <x:v>kcal</x:v>
      </x:c>
      <x:c r="M100" s="7" t="str">
        <x:v>https://fdc.nal.usda.gov/</x:v>
      </x:c>
      <x:c r="N100" s="7" t="str">
        <x:v>SR28 NDB 20420; nutrients 203,205,204,208</x:v>
      </x:c>
      <x:c r="O100" s="7" t="str">
        <x:v>USDA total carbohydrate. Generic composition; Indian brands and recipes can differ.</x:v>
      </x:c>
      <x:c r="P100" s="7" t="str">
        <x:v>USDA recorded household weights, edible grams; sizes and recipes vary.</x:v>
      </x:c>
    </x:row>
    <x:row r="101" ht="64" customHeight="1">
      <x:c r="A101" s="5" t="str">
        <x:v>Carbohydrate Sources</x:v>
      </x:c>
      <x:c r="B101" s="5" t="n">
        <x:v>86</x:v>
      </x:c>
      <x:c r="C101" s="5" t="str">
        <x:v>Pasta, cooked, unenriched, no salt</x:v>
      </x:c>
      <x:c r="D101" s="5" t="str">
        <x:v>USDA SR28 (2015)</x:v>
      </x:c>
      <x:c r="E101" s="5" t="str">
        <x:v>NDB 20421</x:v>
      </x:c>
      <x:c r="F101" s="5" t="str">
        <x:v>Pasta, cooked, unenriched, without added salt</x:v>
      </x:c>
      <x:c r="G101" s="24" t="n">
        <x:v>5.8</x:v>
      </x:c>
      <x:c r="H101" s="24" t="n">
        <x:v>30.86</x:v>
      </x:c>
      <x:c r="I101" s="24" t="n">
        <x:v>0.93</x:v>
      </x:c>
      <x:c r="J101" s="24" t="n">
        <x:v>1.8</x:v>
      </x:c>
      <x:c r="K101" s="24" t="n">
        <x:v>158</x:v>
      </x:c>
      <x:c r="L101" s="5" t="str">
        <x:v>kcal</x:v>
      </x:c>
      <x:c r="M101" s="5" t="str">
        <x:v>https://fdc.nal.usda.gov/</x:v>
      </x:c>
      <x:c r="N101" s="5" t="str">
        <x:v>SR28 NDB 20421; nutrients 203,205,204,208</x:v>
      </x:c>
      <x:c r="O101" s="5" t="str">
        <x:v>USDA total carbohydrate. Generic composition; Indian brands and recipes can differ.</x:v>
      </x:c>
      <x:c r="P101" s="5" t="str">
        <x:v>USDA recorded household weights, edible grams; sizes and recipes vary.</x:v>
      </x:c>
    </x:row>
    <x:row r="102" ht="64" customHeight="1">
      <x:c r="A102" s="7" t="str">
        <x:v>Carbohydrate Sources</x:v>
      </x:c>
      <x:c r="B102" s="7" t="n">
        <x:v>87</x:v>
      </x:c>
      <x:c r="C102" s="7" t="str">
        <x:v>Egg noodles, dry, enriched</x:v>
      </x:c>
      <x:c r="D102" s="7" t="str">
        <x:v>USDA SR28 (2015)</x:v>
      </x:c>
      <x:c r="E102" s="7" t="str">
        <x:v>NDB 20109</x:v>
      </x:c>
      <x:c r="F102" s="7" t="str">
        <x:v>Noodles, egg, dry, enriched</x:v>
      </x:c>
      <x:c r="G102" s="26" t="n">
        <x:v>14.16</x:v>
      </x:c>
      <x:c r="H102" s="26" t="n">
        <x:v>71.27</x:v>
      </x:c>
      <x:c r="I102" s="26" t="n">
        <x:v>4.44</x:v>
      </x:c>
      <x:c r="J102" s="26" t="n">
        <x:v>3.3</x:v>
      </x:c>
      <x:c r="K102" s="26" t="n">
        <x:v>384</x:v>
      </x:c>
      <x:c r="L102" s="7" t="str">
        <x:v>kcal</x:v>
      </x:c>
      <x:c r="M102" s="7" t="str">
        <x:v>https://fdc.nal.usda.gov/</x:v>
      </x:c>
      <x:c r="N102" s="7" t="str">
        <x:v>SR28 NDB 20109; nutrients 203,205,204,208</x:v>
      </x:c>
      <x:c r="O102" s="7" t="str">
        <x:v>USDA total carbohydrate. Generic composition; Indian brands and recipes can differ.</x:v>
      </x:c>
      <x:c r="P102" s="7" t="str">
        <x:v>USDA recorded household weights, edible grams; sizes and recipes vary.</x:v>
      </x:c>
    </x:row>
    <x:row r="103" ht="64" customHeight="1">
      <x:c r="A103" s="5" t="str">
        <x:v>Carbohydrate Sources</x:v>
      </x:c>
      <x:c r="B103" s="5" t="n">
        <x:v>88</x:v>
      </x:c>
      <x:c r="C103" s="5" t="str">
        <x:v>Egg noodles, cooked, enriched</x:v>
      </x:c>
      <x:c r="D103" s="5" t="str">
        <x:v>USDA SR28 (2015)</x:v>
      </x:c>
      <x:c r="E103" s="5" t="str">
        <x:v>NDB 20110</x:v>
      </x:c>
      <x:c r="F103" s="5" t="str">
        <x:v>Noodles, egg, enriched, cooked</x:v>
      </x:c>
      <x:c r="G103" s="24" t="n">
        <x:v>4.54</x:v>
      </x:c>
      <x:c r="H103" s="24" t="n">
        <x:v>25.16</x:v>
      </x:c>
      <x:c r="I103" s="24" t="n">
        <x:v>2.07</x:v>
      </x:c>
      <x:c r="J103" s="24" t="n">
        <x:v>1.2</x:v>
      </x:c>
      <x:c r="K103" s="24" t="n">
        <x:v>138</x:v>
      </x:c>
      <x:c r="L103" s="5" t="str">
        <x:v>kcal</x:v>
      </x:c>
      <x:c r="M103" s="5" t="str">
        <x:v>https://fdc.nal.usda.gov/</x:v>
      </x:c>
      <x:c r="N103" s="5" t="str">
        <x:v>SR28 NDB 20110; nutrients 203,205,204,208</x:v>
      </x:c>
      <x:c r="O103" s="5" t="str">
        <x:v>USDA total carbohydrate. Generic composition; Indian brands and recipes can differ.</x:v>
      </x:c>
      <x:c r="P103" s="5" t="str">
        <x:v>USDA recorded household weights, edible grams; sizes and recipes vary.</x:v>
      </x:c>
    </x:row>
    <x:row r="104" ht="64" customHeight="1">
      <x:c r="A104" s="7" t="str">
        <x:v>Carbohydrate Sources</x:v>
      </x:c>
      <x:c r="B104" s="7" t="n">
        <x:v>89</x:v>
      </x:c>
      <x:c r="C104" s="7" t="str">
        <x:v>Kellogg's Corn Flakes, USDA US formulation</x:v>
      </x:c>
      <x:c r="D104" s="7" t="str">
        <x:v>USDA SR28 (2015)</x:v>
      </x:c>
      <x:c r="E104" s="7" t="str">
        <x:v>NDB 08020</x:v>
      </x:c>
      <x:c r="F104" s="7" t="str">
        <x:v>Cereals ready-to-eat, KELLOGG, KELLOGG'S Corn Flakes</x:v>
      </x:c>
      <x:c r="G104" s="26" t="n">
        <x:v>7.5</x:v>
      </x:c>
      <x:c r="H104" s="26" t="n">
        <x:v>84.1</x:v>
      </x:c>
      <x:c r="I104" s="26" t="n">
        <x:v>0.4</x:v>
      </x:c>
      <x:c r="J104" s="26" t="n">
        <x:v>3.3</x:v>
      </x:c>
      <x:c r="K104" s="26" t="n">
        <x:v>357</x:v>
      </x:c>
      <x:c r="L104" s="7" t="str">
        <x:v>kcal</x:v>
      </x:c>
      <x:c r="M104" s="7" t="str">
        <x:v>https://fdc.nal.usda.gov/</x:v>
      </x:c>
      <x:c r="N104" s="7" t="str">
        <x:v>SR28 NDB 08020; nutrients 203,205,204,208</x:v>
      </x:c>
      <x:c r="O104" s="7" t="str">
        <x:v>US brand formulation in SR28; not verified as the current Indian pack formulation.</x:v>
      </x:c>
      <x:c r="P104" s="7" t="str">
        <x:v>USDA recorded household weights, edible grams; sizes and recipes vary.</x:v>
      </x:c>
    </x:row>
    <x:row r="105" ht="64" customHeight="1">
      <x:c r="A105" s="5" t="str">
        <x:v>Carbohydrate Sources</x:v>
      </x:c>
      <x:c r="B105" s="5" t="n">
        <x:v>90</x:v>
      </x:c>
      <x:c r="C105" s="5" t="str">
        <x:v>Honey</x:v>
      </x:c>
      <x:c r="D105" s="5" t="str">
        <x:v>USDA SR28 (2015)</x:v>
      </x:c>
      <x:c r="E105" s="5" t="str">
        <x:v>NDB 19296</x:v>
      </x:c>
      <x:c r="F105" s="5" t="str">
        <x:v>Honey</x:v>
      </x:c>
      <x:c r="G105" s="24" t="n">
        <x:v>0.3</x:v>
      </x:c>
      <x:c r="H105" s="24" t="n">
        <x:v>82.4</x:v>
      </x:c>
      <x:c r="I105" s="24" t="n">
        <x:v>0</x:v>
      </x:c>
      <x:c r="J105" s="24" t="n">
        <x:v>0.2</x:v>
      </x:c>
      <x:c r="K105" s="24" t="n">
        <x:v>304</x:v>
      </x:c>
      <x:c r="L105" s="5" t="str">
        <x:v>kcal</x:v>
      </x:c>
      <x:c r="M105" s="5" t="str">
        <x:v>https://fdc.nal.usda.gov/</x:v>
      </x:c>
      <x:c r="N105" s="5" t="str">
        <x:v>SR28 NDB 19296; nutrients 203,205,204,208</x:v>
      </x:c>
      <x:c r="O105" s="5" t="str">
        <x:v>USDA total carbohydrate. Generic composition; Indian brands and recipes can differ.</x:v>
      </x:c>
      <x:c r="P105" s="5" t="str">
        <x:v>USDA recorded household weights, edible grams; sizes and recipes vary.</x:v>
      </x:c>
    </x:row>
    <x:row r="106" ht="64" customHeight="1">
      <x:c r="A106" s="7" t="str">
        <x:v>Carbohydrate Sources</x:v>
      </x:c>
      <x:c r="B106" s="7" t="n">
        <x:v>91</x:v>
      </x:c>
      <x:c r="C106" s="7" t="str">
        <x:v>White granulated sugar</x:v>
      </x:c>
      <x:c r="D106" s="7" t="str">
        <x:v>USDA SR28 (2015)</x:v>
      </x:c>
      <x:c r="E106" s="7" t="str">
        <x:v>NDB 19335</x:v>
      </x:c>
      <x:c r="F106" s="7" t="str">
        <x:v>Sugars, granulated</x:v>
      </x:c>
      <x:c r="G106" s="26" t="n">
        <x:v>0</x:v>
      </x:c>
      <x:c r="H106" s="26" t="n">
        <x:v>99.98</x:v>
      </x:c>
      <x:c r="I106" s="26" t="n">
        <x:v>0</x:v>
      </x:c>
      <x:c r="J106" s="26" t="n">
        <x:v>0</x:v>
      </x:c>
      <x:c r="K106" s="26" t="n">
        <x:v>387</x:v>
      </x:c>
      <x:c r="L106" s="7" t="str">
        <x:v>kcal</x:v>
      </x:c>
      <x:c r="M106" s="7" t="str">
        <x:v>https://fdc.nal.usda.gov/</x:v>
      </x:c>
      <x:c r="N106" s="7" t="str">
        <x:v>SR28 NDB 19335; nutrients 203,205,204,208</x:v>
      </x:c>
      <x:c r="O106" s="7" t="str">
        <x:v>USDA total carbohydrate. Generic composition; Indian brands and recipes can differ.</x:v>
      </x:c>
      <x:c r="P106" s="7" t="str">
        <x:v>USDA recorded household weights, edible grams; sizes and recipes vary.</x:v>
      </x:c>
    </x:row>
    <x:row r="107" ht="64" customHeight="1">
      <x:c r="A107" s="5" t="str">
        <x:v>Carbohydrate Sources</x:v>
      </x:c>
      <x:c r="B107" s="5" t="n">
        <x:v>92</x:v>
      </x:c>
      <x:c r="C107" s="5" t="str">
        <x:v>Jam / fruit preserves, generic</x:v>
      </x:c>
      <x:c r="D107" s="5" t="str">
        <x:v>USDA SR28 (2015)</x:v>
      </x:c>
      <x:c r="E107" s="5" t="str">
        <x:v>NDB 19297</x:v>
      </x:c>
      <x:c r="F107" s="5" t="str">
        <x:v>Jams and preserves</x:v>
      </x:c>
      <x:c r="G107" s="24" t="n">
        <x:v>0.37</x:v>
      </x:c>
      <x:c r="H107" s="24" t="n">
        <x:v>68.86</x:v>
      </x:c>
      <x:c r="I107" s="24" t="n">
        <x:v>0.07</x:v>
      </x:c>
      <x:c r="J107" s="24" t="n">
        <x:v>1.1</x:v>
      </x:c>
      <x:c r="K107" s="24" t="n">
        <x:v>278</x:v>
      </x:c>
      <x:c r="L107" s="5" t="str">
        <x:v>kcal</x:v>
      </x:c>
      <x:c r="M107" s="5" t="str">
        <x:v>https://fdc.nal.usda.gov/</x:v>
      </x:c>
      <x:c r="N107" s="5" t="str">
        <x:v>SR28 NDB 19297; nutrients 203,205,204,208</x:v>
      </x:c>
      <x:c r="O107" s="5" t="str">
        <x:v>USDA total carbohydrate. Generic composition; Indian brands and recipes can differ.</x:v>
      </x:c>
      <x:c r="P107" s="5" t="str">
        <x:v>USDA recorded household weights, edible grams; sizes and recipes vary.</x:v>
      </x:c>
    </x:row>
    <x:row r="108" ht="64" customHeight="1">
      <x:c r="A108" s="7" t="str">
        <x:v>Carbohydrate Sources</x:v>
      </x:c>
      <x:c r="B108" s="7" t="n">
        <x:v>93</x:v>
      </x:c>
      <x:c r="C108" s="7" t="str">
        <x:v>Potato, boiled without skin, no salt</x:v>
      </x:c>
      <x:c r="D108" s="7" t="str">
        <x:v>USDA SR28 (2015)</x:v>
      </x:c>
      <x:c r="E108" s="7" t="str">
        <x:v>NDB 11367</x:v>
      </x:c>
      <x:c r="F108" s="7" t="str">
        <x:v>Potatoes, boiled, cooked without skin, flesh, without salt</x:v>
      </x:c>
      <x:c r="G108" s="26" t="n">
        <x:v>1.71</x:v>
      </x:c>
      <x:c r="H108" s="26" t="n">
        <x:v>20.01</x:v>
      </x:c>
      <x:c r="I108" s="26" t="n">
        <x:v>0.1</x:v>
      </x:c>
      <x:c r="J108" s="26" t="n">
        <x:v>1.8</x:v>
      </x:c>
      <x:c r="K108" s="26" t="n">
        <x:v>86</x:v>
      </x:c>
      <x:c r="L108" s="7" t="str">
        <x:v>kcal</x:v>
      </x:c>
      <x:c r="M108" s="7" t="str">
        <x:v>https://fdc.nal.usda.gov/</x:v>
      </x:c>
      <x:c r="N108" s="7" t="str">
        <x:v>SR28 NDB 11367; nutrients 203,205,204,208</x:v>
      </x:c>
      <x:c r="O108" s="7" t="str">
        <x:v>USDA total carbohydrate. Generic composition; Indian brands and recipes can differ.</x:v>
      </x:c>
      <x:c r="P108" s="7" t="str">
        <x:v>USDA recorded household weights, edible grams; sizes and recipes vary.</x:v>
      </x:c>
    </x:row>
    <x:row r="109" ht="64" customHeight="1">
      <x:c r="A109" s="5" t="str">
        <x:v>Carbohydrate Sources</x:v>
      </x:c>
      <x:c r="B109" s="5" t="n">
        <x:v>94</x:v>
      </x:c>
      <x:c r="C109" s="5" t="str">
        <x:v>Sweet potato, boiled without skin</x:v>
      </x:c>
      <x:c r="D109" s="5" t="str">
        <x:v>USDA SR28 (2015)</x:v>
      </x:c>
      <x:c r="E109" s="5" t="str">
        <x:v>NDB 11510</x:v>
      </x:c>
      <x:c r="F109" s="5" t="str">
        <x:v>Sweet potato, cooked, boiled, without skin</x:v>
      </x:c>
      <x:c r="G109" s="24" t="n">
        <x:v>1.37</x:v>
      </x:c>
      <x:c r="H109" s="24" t="n">
        <x:v>17.72</x:v>
      </x:c>
      <x:c r="I109" s="24" t="n">
        <x:v>0.14</x:v>
      </x:c>
      <x:c r="J109" s="24" t="n">
        <x:v>2.5</x:v>
      </x:c>
      <x:c r="K109" s="24" t="n">
        <x:v>76</x:v>
      </x:c>
      <x:c r="L109" s="5" t="str">
        <x:v>kcal</x:v>
      </x:c>
      <x:c r="M109" s="5" t="str">
        <x:v>https://fdc.nal.usda.gov/</x:v>
      </x:c>
      <x:c r="N109" s="5" t="str">
        <x:v>SR28 NDB 11510; nutrients 203,205,204,208</x:v>
      </x:c>
      <x:c r="O109" s="5" t="str">
        <x:v>USDA total carbohydrate. Generic composition; Indian brands and recipes can differ.</x:v>
      </x:c>
      <x:c r="P109" s="5" t="str">
        <x:v>USDA recorded household weights, edible grams; sizes and recipes vary.</x:v>
      </x:c>
    </x:row>
    <x:row r="110" ht="64" customHeight="1">
      <x:c r="A110" s="7" t="str">
        <x:v>Carbohydrate Sources</x:v>
      </x:c>
      <x:c r="B110" s="7" t="n">
        <x:v>95</x:v>
      </x:c>
      <x:c r="C110" s="7" t="str">
        <x:v>Popcorn, air-popped</x:v>
      </x:c>
      <x:c r="D110" s="7" t="str">
        <x:v>USDA SR28 (2015)</x:v>
      </x:c>
      <x:c r="E110" s="7" t="str">
        <x:v>NDB 19034</x:v>
      </x:c>
      <x:c r="F110" s="7" t="str">
        <x:v>Snacks, popcorn, air-popped</x:v>
      </x:c>
      <x:c r="G110" s="26" t="n">
        <x:v>12.94</x:v>
      </x:c>
      <x:c r="H110" s="26" t="n">
        <x:v>77.78</x:v>
      </x:c>
      <x:c r="I110" s="26" t="n">
        <x:v>4.54</x:v>
      </x:c>
      <x:c r="J110" s="26" t="n">
        <x:v>14.5</x:v>
      </x:c>
      <x:c r="K110" s="26" t="n">
        <x:v>387</x:v>
      </x:c>
      <x:c r="L110" s="7" t="str">
        <x:v>kcal</x:v>
      </x:c>
      <x:c r="M110" s="7" t="str">
        <x:v>https://fdc.nal.usda.gov/</x:v>
      </x:c>
      <x:c r="N110" s="7" t="str">
        <x:v>SR28 NDB 19034; nutrients 203,205,204,208</x:v>
      </x:c>
      <x:c r="O110" s="7" t="str">
        <x:v>USDA total carbohydrate. Generic composition; Indian brands and recipes can differ.</x:v>
      </x:c>
      <x:c r="P110" s="7" t="str">
        <x:v>USDA recorded household weights, edible grams; sizes and recipes vary.</x:v>
      </x:c>
    </x:row>
    <x:row r="111" ht="64" customHeight="1">
      <x:c r="A111" s="5" t="str">
        <x:v>Carbohydrate Sources</x:v>
      </x:c>
      <x:c r="B111" s="5" t="n">
        <x:v>96</x:v>
      </x:c>
      <x:c r="C111" s="5" t="str">
        <x:v>Chickpeas / kabuli chana, boiled, no salt</x:v>
      </x:c>
      <x:c r="D111" s="5" t="str">
        <x:v>USDA SR28 (2015)</x:v>
      </x:c>
      <x:c r="E111" s="5" t="str">
        <x:v>NDB 16057</x:v>
      </x:c>
      <x:c r="F111" s="5" t="str">
        <x:v>Chickpeas (garbanzo beans, bengal gram), mature seeds, cooked, boiled, without salt</x:v>
      </x:c>
      <x:c r="G111" s="24" t="n">
        <x:v>8.86</x:v>
      </x:c>
      <x:c r="H111" s="24" t="n">
        <x:v>27.42</x:v>
      </x:c>
      <x:c r="I111" s="24" t="n">
        <x:v>2.59</x:v>
      </x:c>
      <x:c r="J111" s="24" t="n">
        <x:v>7.6</x:v>
      </x:c>
      <x:c r="K111" s="24" t="n">
        <x:v>164</x:v>
      </x:c>
      <x:c r="L111" s="5" t="str">
        <x:v>kcal</x:v>
      </x:c>
      <x:c r="M111" s="5" t="str">
        <x:v>https://fdc.nal.usda.gov/</x:v>
      </x:c>
      <x:c r="N111" s="5" t="str">
        <x:v>SR28 NDB 16057; nutrients 203,205,204,208</x:v>
      </x:c>
      <x:c r="O111" s="5" t="str">
        <x:v>USDA total carbohydrate. Generic composition; Indian brands and recipes can differ.</x:v>
      </x:c>
      <x:c r="P111" s="5" t="str">
        <x:v>USDA recorded household weights, edible grams; sizes and recipes vary.</x:v>
      </x:c>
    </x:row>
    <x:row r="112" ht="64" customHeight="1">
      <x:c r="A112" s="7" t="str">
        <x:v>Carbohydrate Sources</x:v>
      </x:c>
      <x:c r="B112" s="7" t="n">
        <x:v>97</x:v>
      </x:c>
      <x:c r="C112" s="7" t="str">
        <x:v>Lentils / masoor, boiled, no salt</x:v>
      </x:c>
      <x:c r="D112" s="7" t="str">
        <x:v>USDA SR28 (2015)</x:v>
      </x:c>
      <x:c r="E112" s="7" t="str">
        <x:v>NDB 16070</x:v>
      </x:c>
      <x:c r="F112" s="7" t="str">
        <x:v>Lentils, mature seeds, cooked, boiled, without salt</x:v>
      </x:c>
      <x:c r="G112" s="26" t="n">
        <x:v>9.02</x:v>
      </x:c>
      <x:c r="H112" s="26" t="n">
        <x:v>20.13</x:v>
      </x:c>
      <x:c r="I112" s="26" t="n">
        <x:v>0.38</x:v>
      </x:c>
      <x:c r="J112" s="26" t="n">
        <x:v>7.9</x:v>
      </x:c>
      <x:c r="K112" s="26" t="n">
        <x:v>116</x:v>
      </x:c>
      <x:c r="L112" s="7" t="str">
        <x:v>kcal</x:v>
      </x:c>
      <x:c r="M112" s="7" t="str">
        <x:v>https://fdc.nal.usda.gov/</x:v>
      </x:c>
      <x:c r="N112" s="7" t="str">
        <x:v>SR28 NDB 16070; nutrients 203,205,204,208</x:v>
      </x:c>
      <x:c r="O112" s="7" t="str">
        <x:v>USDA total carbohydrate. Generic composition; Indian brands and recipes can differ.</x:v>
      </x:c>
      <x:c r="P112" s="7" t="str">
        <x:v>USDA recorded household weights, edible grams; sizes and recipes vary.</x:v>
      </x:c>
    </x:row>
    <x:row r="113" ht="64" customHeight="1">
      <x:c r="A113" s="5" t="str">
        <x:v>Carbohydrate Sources</x:v>
      </x:c>
      <x:c r="B113" s="5" t="n">
        <x:v>98</x:v>
      </x:c>
      <x:c r="C113" s="5" t="str">
        <x:v>Red rajma, boiled, no salt</x:v>
      </x:c>
      <x:c r="D113" s="5" t="str">
        <x:v>USDA SR28 (2015)</x:v>
      </x:c>
      <x:c r="E113" s="5" t="str">
        <x:v>NDB 16033</x:v>
      </x:c>
      <x:c r="F113" s="5" t="str">
        <x:v>Beans, kidney, red, mature seeds, cooked, boiled, without salt</x:v>
      </x:c>
      <x:c r="G113" s="24" t="n">
        <x:v>8.67</x:v>
      </x:c>
      <x:c r="H113" s="24" t="n">
        <x:v>22.8</x:v>
      </x:c>
      <x:c r="I113" s="24" t="n">
        <x:v>0.5</x:v>
      </x:c>
      <x:c r="J113" s="24" t="n">
        <x:v>7.4</x:v>
      </x:c>
      <x:c r="K113" s="24" t="n">
        <x:v>127</x:v>
      </x:c>
      <x:c r="L113" s="5" t="str">
        <x:v>kcal</x:v>
      </x:c>
      <x:c r="M113" s="5" t="str">
        <x:v>https://fdc.nal.usda.gov/</x:v>
      </x:c>
      <x:c r="N113" s="5" t="str">
        <x:v>SR28 NDB 16033; nutrients 203,205,204,208</x:v>
      </x:c>
      <x:c r="O113" s="5" t="str">
        <x:v>USDA total carbohydrate. Generic composition; Indian brands and recipes can differ.</x:v>
      </x:c>
      <x:c r="P113" s="5" t="str">
        <x:v>USDA recorded household weights, edible grams; sizes and recipes vary.</x:v>
      </x:c>
    </x:row>
    <x:row r="114" ht="64" customHeight="1">
      <x:c r="A114" s="7" t="str">
        <x:v>Carbohydrate Sources</x:v>
      </x:c>
      <x:c r="B114" s="7" t="n">
        <x:v>99</x:v>
      </x:c>
      <x:c r="C114" s="7" t="str">
        <x:v>Whole moong, boiled, no salt</x:v>
      </x:c>
      <x:c r="D114" s="7" t="str">
        <x:v>USDA SR28 (2015)</x:v>
      </x:c>
      <x:c r="E114" s="7" t="str">
        <x:v>NDB 16081</x:v>
      </x:c>
      <x:c r="F114" s="7" t="str">
        <x:v>Mung beans, mature seeds, cooked, boiled, without salt</x:v>
      </x:c>
      <x:c r="G114" s="26" t="n">
        <x:v>7.02</x:v>
      </x:c>
      <x:c r="H114" s="26" t="n">
        <x:v>19.15</x:v>
      </x:c>
      <x:c r="I114" s="26" t="n">
        <x:v>0.38</x:v>
      </x:c>
      <x:c r="J114" s="26" t="n">
        <x:v>7.6</x:v>
      </x:c>
      <x:c r="K114" s="26" t="n">
        <x:v>105</x:v>
      </x:c>
      <x:c r="L114" s="7" t="str">
        <x:v>kcal</x:v>
      </x:c>
      <x:c r="M114" s="7" t="str">
        <x:v>https://fdc.nal.usda.gov/</x:v>
      </x:c>
      <x:c r="N114" s="7" t="str">
        <x:v>SR28 NDB 16081; nutrients 203,205,204,208</x:v>
      </x:c>
      <x:c r="O114" s="7" t="str">
        <x:v>USDA total carbohydrate. Generic composition; Indian brands and recipes can differ.</x:v>
      </x:c>
      <x:c r="P114" s="7" t="str">
        <x:v>USDA recorded household weights, edible grams; sizes and recipes vary.</x:v>
      </x:c>
    </x:row>
    <x:row r="115" ht="64" customHeight="1">
      <x:c r="A115" s="5" t="str">
        <x:v>Carbohydrate Sources</x:v>
      </x:c>
      <x:c r="B115" s="5" t="n">
        <x:v>100</x:v>
      </x:c>
      <x:c r="C115" s="5" t="str">
        <x:v>Besan / chickpea flour, dry</x:v>
      </x:c>
      <x:c r="D115" s="5" t="str">
        <x:v>USDA SR28 (2015)</x:v>
      </x:c>
      <x:c r="E115" s="5" t="str">
        <x:v>NDB 16157</x:v>
      </x:c>
      <x:c r="F115" s="5" t="str">
        <x:v>Chickpea flour (besan)</x:v>
      </x:c>
      <x:c r="G115" s="24" t="n">
        <x:v>22.39</x:v>
      </x:c>
      <x:c r="H115" s="24" t="n">
        <x:v>57.82</x:v>
      </x:c>
      <x:c r="I115" s="24" t="n">
        <x:v>6.69</x:v>
      </x:c>
      <x:c r="J115" s="24" t="n">
        <x:v>10.8</x:v>
      </x:c>
      <x:c r="K115" s="24" t="n">
        <x:v>387</x:v>
      </x:c>
      <x:c r="L115" s="5" t="str">
        <x:v>kcal</x:v>
      </x:c>
      <x:c r="M115" s="5" t="str">
        <x:v>https://fdc.nal.usda.gov/</x:v>
      </x:c>
      <x:c r="N115" s="5" t="str">
        <x:v>SR28 NDB 16157; nutrients 203,205,204,208</x:v>
      </x:c>
      <x:c r="O115" s="5" t="str">
        <x:v>USDA total carbohydrate. Generic composition; Indian brands and recipes can differ.</x:v>
      </x:c>
      <x:c r="P115" s="5" t="str">
        <x:v>USDA recorded household weights, edible grams; sizes and recipes vary.</x:v>
      </x:c>
    </x:row>
    <x:row r="116" ht="64" customHeight="1">
      <x:c r="A116" s="7" t="str">
        <x:v>Fat Sources</x:v>
      </x:c>
      <x:c r="B116" s="7" t="n">
        <x:v>1</x:v>
      </x:c>
      <x:c r="C116" s="7" t="str">
        <x:v>Almonds / badam, raw kernels</x:v>
      </x:c>
      <x:c r="D116" s="7" t="str">
        <x:v>ICMR-NIN IFCT 2017</x:v>
      </x:c>
      <x:c r="E116" s="7" t="str">
        <x:v>H001</x:v>
      </x:c>
      <x:c r="F116" s="7" t="str">
        <x:v>Almond</x:v>
      </x:c>
      <x:c r="G116" s="26" t="n">
        <x:v>18.41</x:v>
      </x:c>
      <x:c r="H116" s="26" t="n">
        <x:v>3.04</x:v>
      </x:c>
      <x:c r="I116" s="26" t="n">
        <x:v>58.49</x:v>
      </x:c>
      <x:c r="J116" s="26" t="n">
        <x:v>13.06</x:v>
      </x:c>
      <x:c r="K116" s="26" t="n">
        <x:v>2549</x:v>
      </x:c>
      <x:c r="L116" s="7" t="str">
        <x:v>kJ</x:v>
      </x:c>
      <x:c r="M116" s="7" t="str">
        <x:v>https://www.nin.res.in/ebooks/IFCT2017.pdf#page=55</x:v>
      </x:c>
      <x:c r="N116" s="7" t="str">
        <x:v>Table 1; PDF page 55</x:v>
      </x:c>
      <x:c r="O116" s="7" t="str">
        <x:v>Available carbs + fibre; energy / 4.184. Original PDF values.</x:v>
      </x:c>
      <x:c r="P116" s="7" t="str">
        <x:v>No verified household weight. Use edible grams.</x:v>
      </x:c>
    </x:row>
    <x:row r="117" ht="64" customHeight="1">
      <x:c r="A117" s="5" t="str">
        <x:v>Fat Sources</x:v>
      </x:c>
      <x:c r="B117" s="5" t="n">
        <x:v>2</x:v>
      </x:c>
      <x:c r="C117" s="5" t="str">
        <x:v>Cashews / kaju, raw kernels</x:v>
      </x:c>
      <x:c r="D117" s="5" t="str">
        <x:v>ICMR-NIN IFCT 2017</x:v>
      </x:c>
      <x:c r="E117" s="5" t="str">
        <x:v>H005</x:v>
      </x:c>
      <x:c r="F117" s="5" t="str">
        <x:v>Cashew nut</x:v>
      </x:c>
      <x:c r="G117" s="24" t="n">
        <x:v>18.78</x:v>
      </x:c>
      <x:c r="H117" s="24" t="n">
        <x:v>25.46</x:v>
      </x:c>
      <x:c r="I117" s="24" t="n">
        <x:v>45.2</x:v>
      </x:c>
      <x:c r="J117" s="24" t="n">
        <x:v>3.86</x:v>
      </x:c>
      <x:c r="K117" s="24" t="n">
        <x:v>2438</x:v>
      </x:c>
      <x:c r="L117" s="5" t="str">
        <x:v>kJ</x:v>
      </x:c>
      <x:c r="M117" s="5" t="str">
        <x:v>https://www.nin.res.in/ebooks/IFCT2017.pdf#page=55</x:v>
      </x:c>
      <x:c r="N117" s="5" t="str">
        <x:v>Table 1; PDF page 55</x:v>
      </x:c>
      <x:c r="O117" s="5" t="str">
        <x:v>Available carbs + fibre; energy / 4.184. Original PDF values.</x:v>
      </x:c>
      <x:c r="P117" s="5" t="str">
        <x:v>No verified household weight. Use edible grams.</x:v>
      </x:c>
    </x:row>
    <x:row r="118" ht="64" customHeight="1">
      <x:c r="A118" s="7" t="str">
        <x:v>Fat Sources</x:v>
      </x:c>
      <x:c r="B118" s="7" t="n">
        <x:v>3</x:v>
      </x:c>
      <x:c r="C118" s="7" t="str">
        <x:v>Dry coconut / copra, kernel</x:v>
      </x:c>
      <x:c r="D118" s="7" t="str">
        <x:v>ICMR-NIN IFCT 2017</x:v>
      </x:c>
      <x:c r="E118" s="7" t="str">
        <x:v>H006</x:v>
      </x:c>
      <x:c r="F118" s="7" t="str">
        <x:v>Coconut, kernel, dry</x:v>
      </x:c>
      <x:c r="G118" s="26" t="n">
        <x:v>7.27</x:v>
      </x:c>
      <x:c r="H118" s="26" t="n">
        <x:v>8.01</x:v>
      </x:c>
      <x:c r="I118" s="26" t="n">
        <x:v>63.26</x:v>
      </x:c>
      <x:c r="J118" s="26" t="n">
        <x:v>15.88</x:v>
      </x:c>
      <x:c r="K118" s="26" t="n">
        <x:v>2611</x:v>
      </x:c>
      <x:c r="L118" s="7" t="str">
        <x:v>kJ</x:v>
      </x:c>
      <x:c r="M118" s="7" t="str">
        <x:v>https://www.nin.res.in/ebooks/IFCT2017.pdf#page=55</x:v>
      </x:c>
      <x:c r="N118" s="7" t="str">
        <x:v>Table 1; PDF page 55</x:v>
      </x:c>
      <x:c r="O118" s="7" t="str">
        <x:v>Available carbs + fibre; energy / 4.184. Original PDF values.</x:v>
      </x:c>
      <x:c r="P118" s="7" t="str">
        <x:v>No verified household weight. Use edible grams.</x:v>
      </x:c>
    </x:row>
    <x:row r="119" ht="64" customHeight="1">
      <x:c r="A119" s="5" t="str">
        <x:v>Fat Sources</x:v>
      </x:c>
      <x:c r="B119" s="5" t="n">
        <x:v>4</x:v>
      </x:c>
      <x:c r="C119" s="5" t="str">
        <x:v>Fresh mature coconut, kernel</x:v>
      </x:c>
      <x:c r="D119" s="5" t="str">
        <x:v>ICMR-NIN IFCT 2017</x:v>
      </x:c>
      <x:c r="E119" s="5" t="str">
        <x:v>H007</x:v>
      </x:c>
      <x:c r="F119" s="5" t="str">
        <x:v>Coconut, kernel, fresh</x:v>
      </x:c>
      <x:c r="G119" s="24" t="n">
        <x:v>3.84</x:v>
      </x:c>
      <x:c r="H119" s="24" t="n">
        <x:v>6.3</x:v>
      </x:c>
      <x:c r="I119" s="24" t="n">
        <x:v>41.38</x:v>
      </x:c>
      <x:c r="J119" s="24" t="n">
        <x:v>10.42</x:v>
      </x:c>
      <x:c r="K119" s="24" t="n">
        <x:v>1711</x:v>
      </x:c>
      <x:c r="L119" s="5" t="str">
        <x:v>kJ</x:v>
      </x:c>
      <x:c r="M119" s="5" t="str">
        <x:v>https://www.nin.res.in/ebooks/IFCT2017.pdf#page=55</x:v>
      </x:c>
      <x:c r="N119" s="5" t="str">
        <x:v>Table 1; PDF page 55</x:v>
      </x:c>
      <x:c r="O119" s="5" t="str">
        <x:v>Available carbs + fibre; energy / 4.184. Original PDF values.</x:v>
      </x:c>
      <x:c r="P119" s="5" t="str">
        <x:v>No verified household weight. Use edible grams.</x:v>
      </x:c>
    </x:row>
    <x:row r="120" ht="64" customHeight="1">
      <x:c r="A120" s="7" t="str">
        <x:v>Fat Sources</x:v>
      </x:c>
      <x:c r="B120" s="7" t="n">
        <x:v>5</x:v>
      </x:c>
      <x:c r="C120" s="7" t="str">
        <x:v>Garden cress / halim seeds, dry</x:v>
      </x:c>
      <x:c r="D120" s="7" t="str">
        <x:v>ICMR-NIN IFCT 2017</x:v>
      </x:c>
      <x:c r="E120" s="7" t="str">
        <x:v>H008</x:v>
      </x:c>
      <x:c r="F120" s="7" t="str">
        <x:v>Garden cress, seeds</x:v>
      </x:c>
      <x:c r="G120" s="26" t="n">
        <x:v>23.36</x:v>
      </x:c>
      <x:c r="H120" s="26" t="n">
        <x:v>33.66</x:v>
      </x:c>
      <x:c r="I120" s="26" t="n">
        <x:v>23.74</x:v>
      </x:c>
      <x:c r="J120" s="26" t="n">
        <x:v>8.27</x:v>
      </x:c>
      <x:c r="K120" s="26" t="n">
        <x:v>1863</x:v>
      </x:c>
      <x:c r="L120" s="7" t="str">
        <x:v>kJ</x:v>
      </x:c>
      <x:c r="M120" s="7" t="str">
        <x:v>https://www.nin.res.in/ebooks/IFCT2017.pdf#page=55</x:v>
      </x:c>
      <x:c r="N120" s="7" t="str">
        <x:v>Table 1; PDF page 55</x:v>
      </x:c>
      <x:c r="O120" s="7" t="str">
        <x:v>Available carbs + fibre; energy / 4.184. Original PDF values.</x:v>
      </x:c>
      <x:c r="P120" s="7" t="str">
        <x:v>No verified household weight. Use edible grams.</x:v>
      </x:c>
    </x:row>
    <x:row r="121" ht="64" customHeight="1">
      <x:c r="A121" s="5" t="str">
        <x:v>Fat Sources</x:v>
      </x:c>
      <x:c r="B121" s="5" t="n">
        <x:v>6</x:v>
      </x:c>
      <x:c r="C121" s="5" t="str">
        <x:v>Black sesame / kala til, dry</x:v>
      </x:c>
      <x:c r="D121" s="5" t="str">
        <x:v>ICMR-NIN IFCT 2017</x:v>
      </x:c>
      <x:c r="E121" s="5" t="str">
        <x:v>H009</x:v>
      </x:c>
      <x:c r="F121" s="5" t="str">
        <x:v>Gingelly seeds, black</x:v>
      </x:c>
      <x:c r="G121" s="24" t="n">
        <x:v>19.17</x:v>
      </x:c>
      <x:c r="H121" s="24" t="n">
        <x:v>10.29</x:v>
      </x:c>
      <x:c r="I121" s="24" t="n">
        <x:v>43.1</x:v>
      </x:c>
      <x:c r="J121" s="24" t="n">
        <x:v>17.16</x:v>
      </x:c>
      <x:c r="K121" s="24" t="n">
        <x:v>2124</x:v>
      </x:c>
      <x:c r="L121" s="5" t="str">
        <x:v>kJ</x:v>
      </x:c>
      <x:c r="M121" s="5" t="str">
        <x:v>https://www.nin.res.in/ebooks/IFCT2017.pdf#page=55</x:v>
      </x:c>
      <x:c r="N121" s="5" t="str">
        <x:v>Table 1; PDF page 55</x:v>
      </x:c>
      <x:c r="O121" s="5" t="str">
        <x:v>Available carbs + fibre; energy / 4.184. Original PDF values.</x:v>
      </x:c>
      <x:c r="P121" s="5" t="str">
        <x:v>No verified household weight. Use edible grams.</x:v>
      </x:c>
    </x:row>
    <x:row r="122" ht="64" customHeight="1">
      <x:c r="A122" s="7" t="str">
        <x:v>Fat Sources</x:v>
      </x:c>
      <x:c r="B122" s="7" t="n">
        <x:v>7</x:v>
      </x:c>
      <x:c r="C122" s="7" t="str">
        <x:v>Brown sesame / til, dry</x:v>
      </x:c>
      <x:c r="D122" s="7" t="str">
        <x:v>ICMR-NIN IFCT 2017</x:v>
      </x:c>
      <x:c r="E122" s="7" t="str">
        <x:v>H010</x:v>
      </x:c>
      <x:c r="F122" s="7" t="str">
        <x:v>Gingelly seeds, brown</x:v>
      </x:c>
      <x:c r="G122" s="26" t="n">
        <x:v>21.61</x:v>
      </x:c>
      <x:c r="H122" s="26" t="n">
        <x:v>9.76</x:v>
      </x:c>
      <x:c r="I122" s="26" t="n">
        <x:v>43.22</x:v>
      </x:c>
      <x:c r="J122" s="26" t="n">
        <x:v>17.21</x:v>
      </x:c>
      <x:c r="K122" s="26" t="n">
        <x:v>2161</x:v>
      </x:c>
      <x:c r="L122" s="7" t="str">
        <x:v>kJ</x:v>
      </x:c>
      <x:c r="M122" s="7" t="str">
        <x:v>https://www.nin.res.in/ebooks/IFCT2017.pdf#page=55</x:v>
      </x:c>
      <x:c r="N122" s="7" t="str">
        <x:v>Table 1; PDF page 55</x:v>
      </x:c>
      <x:c r="O122" s="7" t="str">
        <x:v>Available carbs + fibre; energy / 4.184. Original PDF values.</x:v>
      </x:c>
      <x:c r="P122" s="7" t="str">
        <x:v>No verified household weight. Use edible grams.</x:v>
      </x:c>
    </x:row>
    <x:row r="123" ht="64" customHeight="1">
      <x:c r="A123" s="5" t="str">
        <x:v>Fat Sources</x:v>
      </x:c>
      <x:c r="B123" s="5" t="n">
        <x:v>8</x:v>
      </x:c>
      <x:c r="C123" s="5" t="str">
        <x:v>White sesame / safed til, dry</x:v>
      </x:c>
      <x:c r="D123" s="5" t="str">
        <x:v>ICMR-NIN IFCT 2017</x:v>
      </x:c>
      <x:c r="E123" s="5" t="str">
        <x:v>H011</x:v>
      </x:c>
      <x:c r="F123" s="5" t="str">
        <x:v>Gingelly seeds, white</x:v>
      </x:c>
      <x:c r="G123" s="24" t="n">
        <x:v>21.7</x:v>
      </x:c>
      <x:c r="H123" s="24" t="n">
        <x:v>10.83</x:v>
      </x:c>
      <x:c r="I123" s="24" t="n">
        <x:v>43.05</x:v>
      </x:c>
      <x:c r="J123" s="24" t="n">
        <x:v>16.99</x:v>
      </x:c>
      <x:c r="K123" s="24" t="n">
        <x:v>2174</x:v>
      </x:c>
      <x:c r="L123" s="5" t="str">
        <x:v>kJ</x:v>
      </x:c>
      <x:c r="M123" s="5" t="str">
        <x:v>https://www.nin.res.in/ebooks/IFCT2017.pdf#page=55</x:v>
      </x:c>
      <x:c r="N123" s="5" t="str">
        <x:v>Table 1; PDF page 55</x:v>
      </x:c>
      <x:c r="O123" s="5" t="str">
        <x:v>Available carbs + fibre; energy / 4.184. Original PDF values.</x:v>
      </x:c>
      <x:c r="P123" s="5" t="str">
        <x:v>No verified household weight. Use edible grams.</x:v>
      </x:c>
    </x:row>
    <x:row r="124" ht="64" customHeight="1">
      <x:c r="A124" s="7" t="str">
        <x:v>Fat Sources</x:v>
      </x:c>
      <x:c r="B124" s="7" t="n">
        <x:v>9</x:v>
      </x:c>
      <x:c r="C124" s="7" t="str">
        <x:v>Peanuts / groundnuts, raw kernels</x:v>
      </x:c>
      <x:c r="D124" s="7" t="str">
        <x:v>ICMR-NIN IFCT 2017</x:v>
      </x:c>
      <x:c r="E124" s="7" t="str">
        <x:v>H012</x:v>
      </x:c>
      <x:c r="F124" s="7" t="str">
        <x:v>Ground nut</x:v>
      </x:c>
      <x:c r="G124" s="26" t="n">
        <x:v>23.65</x:v>
      </x:c>
      <x:c r="H124" s="26" t="n">
        <x:v>17.27</x:v>
      </x:c>
      <x:c r="I124" s="26" t="n">
        <x:v>39.63</x:v>
      </x:c>
      <x:c r="J124" s="26" t="n">
        <x:v>10.38</x:v>
      </x:c>
      <x:c r="K124" s="26" t="n">
        <x:v>2176</x:v>
      </x:c>
      <x:c r="L124" s="7" t="str">
        <x:v>kJ</x:v>
      </x:c>
      <x:c r="M124" s="7" t="str">
        <x:v>https://www.nin.res.in/ebooks/IFCT2017.pdf#page=55</x:v>
      </x:c>
      <x:c r="N124" s="7" t="str">
        <x:v>Table 1; PDF page 55</x:v>
      </x:c>
      <x:c r="O124" s="7" t="str">
        <x:v>Available carbs + fibre; energy / 4.184. Original PDF values.</x:v>
      </x:c>
      <x:c r="P124" s="7" t="str">
        <x:v>No verified household weight. Use edible grams.</x:v>
      </x:c>
    </x:row>
    <x:row r="125" ht="64" customHeight="1">
      <x:c r="A125" s="5" t="str">
        <x:v>Fat Sources</x:v>
      </x:c>
      <x:c r="B125" s="5" t="n">
        <x:v>10</x:v>
      </x:c>
      <x:c r="C125" s="5" t="str">
        <x:v>Mustard / sarson seeds, dry</x:v>
      </x:c>
      <x:c r="D125" s="5" t="str">
        <x:v>ICMR-NIN IFCT 2017</x:v>
      </x:c>
      <x:c r="E125" s="5" t="str">
        <x:v>H013</x:v>
      </x:c>
      <x:c r="F125" s="5" t="str">
        <x:v>Mustard seeds</x:v>
      </x:c>
      <x:c r="G125" s="24" t="n">
        <x:v>19.51</x:v>
      </x:c>
      <x:c r="H125" s="24" t="n">
        <x:v>16.8</x:v>
      </x:c>
      <x:c r="I125" s="24" t="n">
        <x:v>40.19</x:v>
      </x:c>
      <x:c r="J125" s="24" t="n">
        <x:v>14.1</x:v>
      </x:c>
      <x:c r="K125" s="24" t="n">
        <x:v>2132</x:v>
      </x:c>
      <x:c r="L125" s="5" t="str">
        <x:v>kJ</x:v>
      </x:c>
      <x:c r="M125" s="5" t="str">
        <x:v>https://www.nin.res.in/ebooks/IFCT2017.pdf#page=55</x:v>
      </x:c>
      <x:c r="N125" s="5" t="str">
        <x:v>Table 1; PDF page 55</x:v>
      </x:c>
      <x:c r="O125" s="5" t="str">
        <x:v>Available carbs + fibre; energy / 4.184. Original PDF values.</x:v>
      </x:c>
      <x:c r="P125" s="5" t="str">
        <x:v>No verified household weight. Use edible grams.</x:v>
      </x:c>
    </x:row>
    <x:row r="126" ht="64" customHeight="1">
      <x:c r="A126" s="7" t="str">
        <x:v>Fat Sources</x:v>
      </x:c>
      <x:c r="B126" s="7" t="n">
        <x:v>11</x:v>
      </x:c>
      <x:c r="C126" s="7" t="str">
        <x:v>Flax seeds / alsi, dry</x:v>
      </x:c>
      <x:c r="D126" s="7" t="str">
        <x:v>ICMR-NIN IFCT 2017</x:v>
      </x:c>
      <x:c r="E126" s="7" t="str">
        <x:v>H014</x:v>
      </x:c>
      <x:c r="F126" s="7" t="str">
        <x:v>Linseeds</x:v>
      </x:c>
      <x:c r="G126" s="26" t="n">
        <x:v>18.55</x:v>
      </x:c>
      <x:c r="H126" s="26" t="n">
        <x:v>10.99</x:v>
      </x:c>
      <x:c r="I126" s="26" t="n">
        <x:v>35.67</x:v>
      </x:c>
      <x:c r="J126" s="26" t="n">
        <x:v>26.17</x:v>
      </x:c>
      <x:c r="K126" s="26" t="n">
        <x:v>1857</x:v>
      </x:c>
      <x:c r="L126" s="7" t="str">
        <x:v>kJ</x:v>
      </x:c>
      <x:c r="M126" s="7" t="str">
        <x:v>https://www.nin.res.in/ebooks/IFCT2017.pdf#page=55</x:v>
      </x:c>
      <x:c r="N126" s="7" t="str">
        <x:v>Table 1; PDF page 55</x:v>
      </x:c>
      <x:c r="O126" s="7" t="str">
        <x:v>Available carbs + fibre; energy / 4.184. Original PDF values.</x:v>
      </x:c>
      <x:c r="P126" s="7" t="str">
        <x:v>No verified household weight. Use edible grams.</x:v>
      </x:c>
    </x:row>
    <x:row r="127" ht="64" customHeight="1">
      <x:c r="A127" s="5" t="str">
        <x:v>Fat Sources</x:v>
      </x:c>
      <x:c r="B127" s="5" t="n">
        <x:v>12</x:v>
      </x:c>
      <x:c r="C127" s="5" t="str">
        <x:v>Niger / ramtil seeds, black, dry</x:v>
      </x:c>
      <x:c r="D127" s="5" t="str">
        <x:v>ICMR-NIN IFCT 2017</x:v>
      </x:c>
      <x:c r="E127" s="5" t="str">
        <x:v>H015</x:v>
      </x:c>
      <x:c r="F127" s="5" t="str">
        <x:v>Niger seeds, black</x:v>
      </x:c>
      <x:c r="G127" s="24" t="n">
        <x:v>18.92</x:v>
      </x:c>
      <x:c r="H127" s="24" t="n">
        <x:v>22.98</x:v>
      </x:c>
      <x:c r="I127" s="24" t="n">
        <x:v>38.61</x:v>
      </x:c>
      <x:c r="J127" s="24" t="n">
        <x:v>10.93</x:v>
      </x:c>
      <x:c r="K127" s="24" t="n">
        <x:v>2144</x:v>
      </x:c>
      <x:c r="L127" s="5" t="str">
        <x:v>kJ</x:v>
      </x:c>
      <x:c r="M127" s="5" t="str">
        <x:v>https://www.nin.res.in/ebooks/IFCT2017.pdf#page=55</x:v>
      </x:c>
      <x:c r="N127" s="5" t="str">
        <x:v>Table 1; PDF page 55</x:v>
      </x:c>
      <x:c r="O127" s="5" t="str">
        <x:v>Available carbs + fibre; energy / 4.184. Original PDF values.</x:v>
      </x:c>
      <x:c r="P127" s="5" t="str">
        <x:v>No verified household weight. Use edible grams.</x:v>
      </x:c>
    </x:row>
    <x:row r="128" ht="64" customHeight="1">
      <x:c r="A128" s="7" t="str">
        <x:v>Fat Sources</x:v>
      </x:c>
      <x:c r="B128" s="7" t="n">
        <x:v>13</x:v>
      </x:c>
      <x:c r="C128" s="7" t="str">
        <x:v>Pine nut / chilgoza kernels</x:v>
      </x:c>
      <x:c r="D128" s="7" t="str">
        <x:v>ICMR-NIN IFCT 2017</x:v>
      </x:c>
      <x:c r="E128" s="7" t="str">
        <x:v>H017</x:v>
      </x:c>
      <x:c r="F128" s="7" t="str">
        <x:v>Pine seeds</x:v>
      </x:c>
      <x:c r="G128" s="26" t="n">
        <x:v>12.55</x:v>
      </x:c>
      <x:c r="H128" s="26" t="n">
        <x:v>26.77</x:v>
      </x:c>
      <x:c r="I128" s="26" t="n">
        <x:v>48.79</x:v>
      </x:c>
      <x:c r="J128" s="26" t="n">
        <x:v>3.79</x:v>
      </x:c>
      <x:c r="K128" s="26" t="n">
        <x:v>2486</x:v>
      </x:c>
      <x:c r="L128" s="7" t="str">
        <x:v>kJ</x:v>
      </x:c>
      <x:c r="M128" s="7" t="str">
        <x:v>https://www.nin.res.in/ebooks/IFCT2017.pdf#page=56</x:v>
      </x:c>
      <x:c r="N128" s="7" t="str">
        <x:v>Table 1; PDF page 56</x:v>
      </x:c>
      <x:c r="O128" s="7" t="str">
        <x:v>Available carbs + fibre; energy / 4.184. Original PDF values.</x:v>
      </x:c>
      <x:c r="P128" s="7" t="str">
        <x:v>No verified household weight. Use edible grams.</x:v>
      </x:c>
    </x:row>
    <x:row r="129" ht="64" customHeight="1">
      <x:c r="A129" s="5" t="str">
        <x:v>Fat Sources</x:v>
      </x:c>
      <x:c r="B129" s="5" t="n">
        <x:v>14</x:v>
      </x:c>
      <x:c r="C129" s="5" t="str">
        <x:v>Pistachios / pista, raw kernels</x:v>
      </x:c>
      <x:c r="D129" s="5" t="str">
        <x:v>ICMR-NIN IFCT 2017</x:v>
      </x:c>
      <x:c r="E129" s="5" t="str">
        <x:v>H018</x:v>
      </x:c>
      <x:c r="F129" s="5" t="str">
        <x:v>Pistachio nuts</x:v>
      </x:c>
      <x:c r="G129" s="24" t="n">
        <x:v>23.35</x:v>
      </x:c>
      <x:c r="H129" s="24" t="n">
        <x:v>15.82</x:v>
      </x:c>
      <x:c r="I129" s="24" t="n">
        <x:v>42.49</x:v>
      </x:c>
      <x:c r="J129" s="24" t="n">
        <x:v>10.64</x:v>
      </x:c>
      <x:c r="K129" s="24" t="n">
        <x:v>2257</x:v>
      </x:c>
      <x:c r="L129" s="5" t="str">
        <x:v>kJ</x:v>
      </x:c>
      <x:c r="M129" s="5" t="str">
        <x:v>https://www.nin.res.in/ebooks/IFCT2017.pdf#page=56</x:v>
      </x:c>
      <x:c r="N129" s="5" t="str">
        <x:v>Table 1; PDF page 56</x:v>
      </x:c>
      <x:c r="O129" s="5" t="str">
        <x:v>Available carbs + fibre; energy / 4.184. Original PDF values.</x:v>
      </x:c>
      <x:c r="P129" s="5" t="str">
        <x:v>No verified household weight. Use edible grams.</x:v>
      </x:c>
    </x:row>
    <x:row r="130" ht="64" customHeight="1">
      <x:c r="A130" s="7" t="str">
        <x:v>Fat Sources</x:v>
      </x:c>
      <x:c r="B130" s="7" t="n">
        <x:v>15</x:v>
      </x:c>
      <x:c r="C130" s="7" t="str">
        <x:v>Safflower / kardi seeds, dry</x:v>
      </x:c>
      <x:c r="D130" s="7" t="str">
        <x:v>ICMR-NIN IFCT 2017</x:v>
      </x:c>
      <x:c r="E130" s="7" t="str">
        <x:v>H019</x:v>
      </x:c>
      <x:c r="F130" s="7" t="str">
        <x:v>Safflower seeds</x:v>
      </x:c>
      <x:c r="G130" s="26" t="n">
        <x:v>17.66</x:v>
      </x:c>
      <x:c r="H130" s="26" t="n">
        <x:v>30.18</x:v>
      </x:c>
      <x:c r="I130" s="26" t="n">
        <x:v>30.87</x:v>
      </x:c>
      <x:c r="J130" s="26" t="n">
        <x:v>13.49</x:v>
      </x:c>
      <x:c r="K130" s="26" t="n">
        <x:v>1981</x:v>
      </x:c>
      <x:c r="L130" s="7" t="str">
        <x:v>kJ</x:v>
      </x:c>
      <x:c r="M130" s="7" t="str">
        <x:v>https://www.nin.res.in/ebooks/IFCT2017.pdf#page=56</x:v>
      </x:c>
      <x:c r="N130" s="7" t="str">
        <x:v>Table 1; PDF page 56</x:v>
      </x:c>
      <x:c r="O130" s="7" t="str">
        <x:v>Available carbs + fibre; energy / 4.184. Original PDF values.</x:v>
      </x:c>
      <x:c r="P130" s="7" t="str">
        <x:v>No verified household weight. Use edible grams.</x:v>
      </x:c>
    </x:row>
    <x:row r="131" ht="64" customHeight="1">
      <x:c r="A131" s="5" t="str">
        <x:v>Fat Sources</x:v>
      </x:c>
      <x:c r="B131" s="5" t="n">
        <x:v>16</x:v>
      </x:c>
      <x:c r="C131" s="5" t="str">
        <x:v>Sunflower seeds, dry kernels</x:v>
      </x:c>
      <x:c r="D131" s="5" t="str">
        <x:v>ICMR-NIN IFCT 2017</x:v>
      </x:c>
      <x:c r="E131" s="5" t="str">
        <x:v>H020</x:v>
      </x:c>
      <x:c r="F131" s="5" t="str">
        <x:v>Sunflower seeds</x:v>
      </x:c>
      <x:c r="G131" s="24" t="n">
        <x:v>23.53</x:v>
      </x:c>
      <x:c r="H131" s="24" t="n">
        <x:v>6.85</x:v>
      </x:c>
      <x:c r="I131" s="24" t="n">
        <x:v>51.85</x:v>
      </x:c>
      <x:c r="J131" s="24" t="n">
        <x:v>10.8</x:v>
      </x:c>
      <x:c r="K131" s="24" t="n">
        <x:v>2453</x:v>
      </x:c>
      <x:c r="L131" s="5" t="str">
        <x:v>kJ</x:v>
      </x:c>
      <x:c r="M131" s="5" t="str">
        <x:v>https://www.nin.res.in/ebooks/IFCT2017.pdf#page=56</x:v>
      </x:c>
      <x:c r="N131" s="5" t="str">
        <x:v>Table 1; PDF page 56</x:v>
      </x:c>
      <x:c r="O131" s="5" t="str">
        <x:v>Available carbs + fibre; energy / 4.184. Original PDF values.</x:v>
      </x:c>
      <x:c r="P131" s="5" t="str">
        <x:v>No verified household weight. Use edible grams.</x:v>
      </x:c>
    </x:row>
    <x:row r="132" ht="64" customHeight="1">
      <x:c r="A132" s="7" t="str">
        <x:v>Fat Sources</x:v>
      </x:c>
      <x:c r="B132" s="7" t="n">
        <x:v>17</x:v>
      </x:c>
      <x:c r="C132" s="7" t="str">
        <x:v>Walnuts / akhrot, raw kernels</x:v>
      </x:c>
      <x:c r="D132" s="7" t="str">
        <x:v>ICMR-NIN IFCT 2017</x:v>
      </x:c>
      <x:c r="E132" s="7" t="str">
        <x:v>H021</x:v>
      </x:c>
      <x:c r="F132" s="7" t="str">
        <x:v>Walnut</x:v>
      </x:c>
      <x:c r="G132" s="26" t="n">
        <x:v>14.92</x:v>
      </x:c>
      <x:c r="H132" s="26" t="n">
        <x:v>10.14</x:v>
      </x:c>
      <x:c r="I132" s="26" t="n">
        <x:v>64.27</x:v>
      </x:c>
      <x:c r="J132" s="26" t="n">
        <x:v>5.39</x:v>
      </x:c>
      <x:c r="K132" s="26" t="n">
        <x:v>2809</x:v>
      </x:c>
      <x:c r="L132" s="7" t="str">
        <x:v>kJ</x:v>
      </x:c>
      <x:c r="M132" s="7" t="str">
        <x:v>https://www.nin.res.in/ebooks/IFCT2017.pdf#page=56</x:v>
      </x:c>
      <x:c r="N132" s="7" t="str">
        <x:v>Table 1; PDF page 56</x:v>
      </x:c>
      <x:c r="O132" s="7" t="str">
        <x:v>Available carbs + fibre; energy / 4.184. Original PDF values.</x:v>
      </x:c>
      <x:c r="P132" s="7" t="str">
        <x:v>No verified household weight. Use edible grams.</x:v>
      </x:c>
    </x:row>
    <x:row r="133" ht="64" customHeight="1">
      <x:c r="A133" s="5" t="str">
        <x:v>Fat Sources</x:v>
      </x:c>
      <x:c r="B133" s="5" t="n">
        <x:v>18</x:v>
      </x:c>
      <x:c r="C133" s="5" t="str">
        <x:v>Poppy seeds / khus khus, dry</x:v>
      </x:c>
      <x:c r="D133" s="5" t="str">
        <x:v>ICMR-NIN IFCT 2017</x:v>
      </x:c>
      <x:c r="E133" s="5" t="str">
        <x:v>G032</x:v>
      </x:c>
      <x:c r="F133" s="5" t="str">
        <x:v>Poppy seeds</x:v>
      </x:c>
      <x:c r="G133" s="24" t="n">
        <x:v>20.31</x:v>
      </x:c>
      <x:c r="H133" s="24" t="n">
        <x:v>12.37</x:v>
      </x:c>
      <x:c r="I133" s="24" t="n">
        <x:v>30.38</x:v>
      </x:c>
      <x:c r="J133" s="24" t="n">
        <x:v>26.68</x:v>
      </x:c>
      <x:c r="K133" s="24" t="n">
        <x:v>1768</x:v>
      </x:c>
      <x:c r="L133" s="5" t="str">
        <x:v>kJ</x:v>
      </x:c>
      <x:c r="M133" s="5" t="str">
        <x:v>https://www.nin.res.in/ebooks/IFCT2017.pdf#page=55</x:v>
      </x:c>
      <x:c r="N133" s="5" t="str">
        <x:v>Table 1; PDF page 55</x:v>
      </x:c>
      <x:c r="O133" s="5" t="str">
        <x:v>Available carbs + fibre; energy / 4.184. Original PDF values.</x:v>
      </x:c>
      <x:c r="P133" s="5" t="str">
        <x:v>No verified household weight. Use edible grams.</x:v>
      </x:c>
    </x:row>
    <x:row r="134" ht="64" customHeight="1">
      <x:c r="A134" s="7" t="str">
        <x:v>Fat Sources</x:v>
      </x:c>
      <x:c r="B134" s="7" t="n">
        <x:v>19</x:v>
      </x:c>
      <x:c r="C134" s="7" t="str">
        <x:v>Avocado, raw, edible flesh</x:v>
      </x:c>
      <x:c r="D134" s="7" t="str">
        <x:v>ICMR-NIN IFCT 2017</x:v>
      </x:c>
      <x:c r="E134" s="7" t="str">
        <x:v>E007</x:v>
      </x:c>
      <x:c r="F134" s="7" t="str">
        <x:v>Avocado fruit</x:v>
      </x:c>
      <x:c r="G134" s="26" t="n">
        <x:v>2.95</x:v>
      </x:c>
      <x:c r="H134" s="26" t="n">
        <x:v>1.75</x:v>
      </x:c>
      <x:c r="I134" s="26" t="n">
        <x:v>13.86</x:v>
      </x:c>
      <x:c r="J134" s="26" t="n">
        <x:v>6.69</x:v>
      </x:c>
      <x:c r="K134" s="26" t="n">
        <x:v>604</x:v>
      </x:c>
      <x:c r="L134" s="7" t="str">
        <x:v>kJ</x:v>
      </x:c>
      <x:c r="M134" s="7" t="str">
        <x:v>https://www.nin.res.in/ebooks/IFCT2017.pdf#page=49</x:v>
      </x:c>
      <x:c r="N134" s="7" t="str">
        <x:v>Table 1; PDF page 49</x:v>
      </x:c>
      <x:c r="O134" s="7" t="str">
        <x:v>Available carbs + fibre; energy / 4.184. Original PDF values.</x:v>
      </x:c>
      <x:c r="P134" s="7" t="str">
        <x:v>No verified household weight. Use edible grams.</x:v>
      </x:c>
    </x:row>
    <x:row r="135" ht="64" customHeight="1">
      <x:c r="A135" s="5" t="str">
        <x:v>Fat Sources</x:v>
      </x:c>
      <x:c r="B135" s="5" t="n">
        <x:v>20</x:v>
      </x:c>
      <x:c r="C135" s="5" t="str">
        <x:v>Paneer, plain</x:v>
      </x:c>
      <x:c r="D135" s="5" t="str">
        <x:v>ICMR-NIN IFCT 2017</x:v>
      </x:c>
      <x:c r="E135" s="5" t="str">
        <x:v>L003</x:v>
      </x:c>
      <x:c r="F135" s="5" t="str">
        <x:v>Paneer</x:v>
      </x:c>
      <x:c r="G135" s="24" t="n">
        <x:v>18.86</x:v>
      </x:c>
      <x:c r="H135" s="24" t="n">
        <x:v>2.41</x:v>
      </x:c>
      <x:c r="I135" s="24" t="n">
        <x:v>24.78</x:v>
      </x:c>
      <x:c r="J135" s="24"/>
      <x:c r="K135" s="24" t="n">
        <x:v>1278</x:v>
      </x:c>
      <x:c r="L135" s="5" t="str">
        <x:v>kJ</x:v>
      </x:c>
      <x:c r="M135" s="5" t="str">
        <x:v>https://www.nin.res.in/ebooks/IFCT2017.pdf#page=57</x:v>
      </x:c>
      <x:c r="N135" s="5" t="str">
        <x:v>Table 1; PDF page 57</x:v>
      </x:c>
      <x:c r="O135" s="5" t="str">
        <x:v>Available carbs + fibre; energy / 4.184. Original PDF values.</x:v>
      </x:c>
      <x:c r="P135" s="5" t="str">
        <x:v>No verified household weight. Use edible grams.</x:v>
      </x:c>
    </x:row>
    <x:row r="136" ht="64" customHeight="1">
      <x:c r="A136" s="7" t="str">
        <x:v>Fat Sources</x:v>
      </x:c>
      <x:c r="B136" s="7" t="n">
        <x:v>21</x:v>
      </x:c>
      <x:c r="C136" s="7" t="str">
        <x:v>Khoya / khoa, unsweetened</x:v>
      </x:c>
      <x:c r="D136" s="7" t="str">
        <x:v>ICMR-NIN IFCT 2017</x:v>
      </x:c>
      <x:c r="E136" s="7" t="str">
        <x:v>L004</x:v>
      </x:c>
      <x:c r="F136" s="7" t="str">
        <x:v>Khoa</x:v>
      </x:c>
      <x:c r="G136" s="26" t="n">
        <x:v>16.34</x:v>
      </x:c>
      <x:c r="H136" s="26" t="n">
        <x:v>16.53</x:v>
      </x:c>
      <x:c r="I136" s="26" t="n">
        <x:v>20.62</x:v>
      </x:c>
      <x:c r="J136" s="26"/>
      <x:c r="K136" s="26" t="n">
        <x:v>1322</x:v>
      </x:c>
      <x:c r="L136" s="7" t="str">
        <x:v>kJ</x:v>
      </x:c>
      <x:c r="M136" s="7" t="str">
        <x:v>https://www.nin.res.in/ebooks/IFCT2017.pdf#page=57</x:v>
      </x:c>
      <x:c r="N136" s="7" t="str">
        <x:v>Table 1; PDF page 57</x:v>
      </x:c>
      <x:c r="O136" s="7" t="str">
        <x:v>Available carbs + fibre; energy / 4.184. Original PDF values.</x:v>
      </x:c>
      <x:c r="P136" s="7" t="str">
        <x:v>No verified household weight. Use edible grams.</x:v>
      </x:c>
    </x:row>
    <x:row r="137" ht="64" customHeight="1">
      <x:c r="A137" s="5" t="str">
        <x:v>Fat Sources</x:v>
      </x:c>
      <x:c r="B137" s="5" t="n">
        <x:v>22</x:v>
      </x:c>
      <x:c r="C137" s="5" t="str">
        <x:v>Buffalo milk, whole</x:v>
      </x:c>
      <x:c r="D137" s="5" t="str">
        <x:v>ICMR-NIN IFCT 2017</x:v>
      </x:c>
      <x:c r="E137" s="5" t="str">
        <x:v>L001</x:v>
      </x:c>
      <x:c r="F137" s="5" t="str">
        <x:v>Milk, whole, Buffalo</x:v>
      </x:c>
      <x:c r="G137" s="24" t="n">
        <x:v>3.68</x:v>
      </x:c>
      <x:c r="H137" s="24" t="n">
        <x:v>8.39</x:v>
      </x:c>
      <x:c r="I137" s="24" t="n">
        <x:v>6.58</x:v>
      </x:c>
      <x:c r="J137" s="24"/>
      <x:c r="K137" s="24" t="n">
        <x:v>449</x:v>
      </x:c>
      <x:c r="L137" s="5" t="str">
        <x:v>kJ</x:v>
      </x:c>
      <x:c r="M137" s="5" t="str">
        <x:v>https://www.nin.res.in/ebooks/IFCT2017.pdf#page=57</x:v>
      </x:c>
      <x:c r="N137" s="5" t="str">
        <x:v>Table 1; PDF page 57</x:v>
      </x:c>
      <x:c r="O137" s="5" t="str">
        <x:v>Available carbs + fibre; energy / 4.184. Original PDF values.</x:v>
      </x:c>
      <x:c r="P137" s="5" t="str">
        <x:v>No verified household weight. Use edible grams.</x:v>
      </x:c>
    </x:row>
    <x:row r="138" ht="64" customHeight="1">
      <x:c r="A138" s="7" t="str">
        <x:v>Fat Sources</x:v>
      </x:c>
      <x:c r="B138" s="7" t="n">
        <x:v>23</x:v>
      </x:c>
      <x:c r="C138" s="7" t="str">
        <x:v>Cow milk, whole</x:v>
      </x:c>
      <x:c r="D138" s="7" t="str">
        <x:v>ICMR-NIN IFCT 2017</x:v>
      </x:c>
      <x:c r="E138" s="7" t="str">
        <x:v>L002</x:v>
      </x:c>
      <x:c r="F138" s="7" t="str">
        <x:v>Milk, whole, Cow</x:v>
      </x:c>
      <x:c r="G138" s="26" t="n">
        <x:v>3.26</x:v>
      </x:c>
      <x:c r="H138" s="26" t="n">
        <x:v>4.94</x:v>
      </x:c>
      <x:c r="I138" s="26" t="n">
        <x:v>4.48</x:v>
      </x:c>
      <x:c r="J138" s="26"/>
      <x:c r="K138" s="26" t="n">
        <x:v>305</x:v>
      </x:c>
      <x:c r="L138" s="7" t="str">
        <x:v>kJ</x:v>
      </x:c>
      <x:c r="M138" s="7" t="str">
        <x:v>https://www.nin.res.in/ebooks/IFCT2017.pdf#page=57</x:v>
      </x:c>
      <x:c r="N138" s="7" t="str">
        <x:v>Table 1; PDF page 57</x:v>
      </x:c>
      <x:c r="O138" s="7" t="str">
        <x:v>Available carbs + fibre; energy / 4.184. Original PDF values.</x:v>
      </x:c>
      <x:c r="P138" s="7" t="str">
        <x:v>No verified household weight. Use edible grams.</x:v>
      </x:c>
    </x:row>
    <x:row r="139" ht="64" customHeight="1">
      <x:c r="A139" s="5" t="str">
        <x:v>Fat Sources</x:v>
      </x:c>
      <x:c r="B139" s="5" t="n">
        <x:v>24</x:v>
      </x:c>
      <x:c r="C139" s="5" t="str">
        <x:v>Rice bran oil</x:v>
      </x:c>
      <x:c r="D139" s="5" t="str">
        <x:v>USDA SR28 (2015)</x:v>
      </x:c>
      <x:c r="E139" s="5" t="str">
        <x:v>NDB 04037</x:v>
      </x:c>
      <x:c r="F139" s="5" t="str">
        <x:v>Oil, rice bran</x:v>
      </x:c>
      <x:c r="G139" s="24" t="n">
        <x:v>0</x:v>
      </x:c>
      <x:c r="H139" s="24" t="n">
        <x:v>0</x:v>
      </x:c>
      <x:c r="I139" s="24" t="n">
        <x:v>100</x:v>
      </x:c>
      <x:c r="J139" s="24" t="n">
        <x:v>0</x:v>
      </x:c>
      <x:c r="K139" s="24" t="n">
        <x:v>884</x:v>
      </x:c>
      <x:c r="L139" s="5" t="str">
        <x:v>kcal</x:v>
      </x:c>
      <x:c r="M139" s="5" t="str">
        <x:v>https://fdc.nal.usda.gov/</x:v>
      </x:c>
      <x:c r="N139" s="5" t="str">
        <x:v>SR28 NDB 04037; nutrients 203,205,204,208</x:v>
      </x:c>
      <x:c r="O139" s="5" t="str">
        <x:v>USDA total carbohydrate. Generic composition; Indian brands and recipes can differ.</x:v>
      </x:c>
      <x:c r="P139" s="5" t="str">
        <x:v>USDA recorded household weights, edible grams; sizes and recipes vary.</x:v>
      </x:c>
    </x:row>
    <x:row r="140" ht="64" customHeight="1">
      <x:c r="A140" s="7" t="str">
        <x:v>Fat Sources</x:v>
      </x:c>
      <x:c r="B140" s="7" t="n">
        <x:v>25</x:v>
      </x:c>
      <x:c r="C140" s="7" t="str">
        <x:v>Groundnut / peanut oil</x:v>
      </x:c>
      <x:c r="D140" s="7" t="str">
        <x:v>USDA SR28 (2015)</x:v>
      </x:c>
      <x:c r="E140" s="7" t="str">
        <x:v>NDB 04042</x:v>
      </x:c>
      <x:c r="F140" s="7" t="str">
        <x:v>Oil, peanut, salad or cooking</x:v>
      </x:c>
      <x:c r="G140" s="26" t="n">
        <x:v>0</x:v>
      </x:c>
      <x:c r="H140" s="26" t="n">
        <x:v>0</x:v>
      </x:c>
      <x:c r="I140" s="26" t="n">
        <x:v>100</x:v>
      </x:c>
      <x:c r="J140" s="26" t="n">
        <x:v>0</x:v>
      </x:c>
      <x:c r="K140" s="26" t="n">
        <x:v>884</x:v>
      </x:c>
      <x:c r="L140" s="7" t="str">
        <x:v>kcal</x:v>
      </x:c>
      <x:c r="M140" s="7" t="str">
        <x:v>https://fdc.nal.usda.gov/</x:v>
      </x:c>
      <x:c r="N140" s="7" t="str">
        <x:v>SR28 NDB 04042; nutrients 203,205,204,208</x:v>
      </x:c>
      <x:c r="O140" s="7" t="str">
        <x:v>USDA total carbohydrate. Generic composition; Indian brands and recipes can differ.</x:v>
      </x:c>
      <x:c r="P140" s="7" t="str">
        <x:v>USDA recorded household weights, edible grams; sizes and recipes vary.</x:v>
      </x:c>
    </x:row>
    <x:row r="141" ht="64" customHeight="1">
      <x:c r="A141" s="5" t="str">
        <x:v>Fat Sources</x:v>
      </x:c>
      <x:c r="B141" s="5" t="n">
        <x:v>26</x:v>
      </x:c>
      <x:c r="C141" s="5" t="str">
        <x:v>Soybean oil</x:v>
      </x:c>
      <x:c r="D141" s="5" t="str">
        <x:v>USDA SR28 (2015)</x:v>
      </x:c>
      <x:c r="E141" s="5" t="str">
        <x:v>NDB 04044</x:v>
      </x:c>
      <x:c r="F141" s="5" t="str">
        <x:v>Oil, soybean, salad or cooking</x:v>
      </x:c>
      <x:c r="G141" s="24" t="n">
        <x:v>0</x:v>
      </x:c>
      <x:c r="H141" s="24" t="n">
        <x:v>0</x:v>
      </x:c>
      <x:c r="I141" s="24" t="n">
        <x:v>100</x:v>
      </x:c>
      <x:c r="J141" s="24" t="n">
        <x:v>0</x:v>
      </x:c>
      <x:c r="K141" s="24" t="n">
        <x:v>884</x:v>
      </x:c>
      <x:c r="L141" s="5" t="str">
        <x:v>kcal</x:v>
      </x:c>
      <x:c r="M141" s="5" t="str">
        <x:v>https://fdc.nal.usda.gov/</x:v>
      </x:c>
      <x:c r="N141" s="5" t="str">
        <x:v>SR28 NDB 04044; nutrients 203,205,204,208</x:v>
      </x:c>
      <x:c r="O141" s="5" t="str">
        <x:v>USDA total carbohydrate. Generic composition; Indian brands and recipes can differ.</x:v>
      </x:c>
      <x:c r="P141" s="5" t="str">
        <x:v>USDA recorded household weights, edible grams; sizes and recipes vary.</x:v>
      </x:c>
    </x:row>
    <x:row r="142" ht="64" customHeight="1">
      <x:c r="A142" s="7" t="str">
        <x:v>Fat Sources</x:v>
      </x:c>
      <x:c r="B142" s="7" t="n">
        <x:v>27</x:v>
      </x:c>
      <x:c r="C142" s="7" t="str">
        <x:v>Coconut oil</x:v>
      </x:c>
      <x:c r="D142" s="7" t="str">
        <x:v>USDA SR28 (2015)</x:v>
      </x:c>
      <x:c r="E142" s="7" t="str">
        <x:v>NDB 04047</x:v>
      </x:c>
      <x:c r="F142" s="7" t="str">
        <x:v>Oil, coconut</x:v>
      </x:c>
      <x:c r="G142" s="26" t="n">
        <x:v>0</x:v>
      </x:c>
      <x:c r="H142" s="26" t="n">
        <x:v>0</x:v>
      </x:c>
      <x:c r="I142" s="26" t="n">
        <x:v>99.06</x:v>
      </x:c>
      <x:c r="J142" s="26" t="n">
        <x:v>0</x:v>
      </x:c>
      <x:c r="K142" s="26" t="n">
        <x:v>892</x:v>
      </x:c>
      <x:c r="L142" s="7" t="str">
        <x:v>kcal</x:v>
      </x:c>
      <x:c r="M142" s="7" t="str">
        <x:v>https://fdc.nal.usda.gov/</x:v>
      </x:c>
      <x:c r="N142" s="7" t="str">
        <x:v>SR28 NDB 04047; nutrients 203,205,204,208</x:v>
      </x:c>
      <x:c r="O142" s="7" t="str">
        <x:v>USDA total carbohydrate. Generic composition; Indian brands and recipes can differ.</x:v>
      </x:c>
      <x:c r="P142" s="7" t="str">
        <x:v>USDA recorded household weights, edible grams; sizes and recipes vary.</x:v>
      </x:c>
    </x:row>
    <x:row r="143" ht="64" customHeight="1">
      <x:c r="A143" s="5" t="str">
        <x:v>Fat Sources</x:v>
      </x:c>
      <x:c r="B143" s="5" t="n">
        <x:v>28</x:v>
      </x:c>
      <x:c r="C143" s="5" t="str">
        <x:v>Olive oil</x:v>
      </x:c>
      <x:c r="D143" s="5" t="str">
        <x:v>USDA SR28 (2015)</x:v>
      </x:c>
      <x:c r="E143" s="5" t="str">
        <x:v>NDB 04053</x:v>
      </x:c>
      <x:c r="F143" s="5" t="str">
        <x:v>Oil, olive, salad or cooking</x:v>
      </x:c>
      <x:c r="G143" s="24" t="n">
        <x:v>0</x:v>
      </x:c>
      <x:c r="H143" s="24" t="n">
        <x:v>0</x:v>
      </x:c>
      <x:c r="I143" s="24" t="n">
        <x:v>100</x:v>
      </x:c>
      <x:c r="J143" s="24" t="n">
        <x:v>0</x:v>
      </x:c>
      <x:c r="K143" s="24" t="n">
        <x:v>884</x:v>
      </x:c>
      <x:c r="L143" s="5" t="str">
        <x:v>kcal</x:v>
      </x:c>
      <x:c r="M143" s="5" t="str">
        <x:v>https://fdc.nal.usda.gov/</x:v>
      </x:c>
      <x:c r="N143" s="5" t="str">
        <x:v>SR28 NDB 04053; nutrients 203,205,204,208</x:v>
      </x:c>
      <x:c r="O143" s="5" t="str">
        <x:v>USDA total carbohydrate. Generic composition; Indian brands and recipes can differ.</x:v>
      </x:c>
      <x:c r="P143" s="5" t="str">
        <x:v>USDA recorded household weights, edible grams; sizes and recipes vary.</x:v>
      </x:c>
    </x:row>
    <x:row r="144" ht="64" customHeight="1">
      <x:c r="A144" s="7" t="str">
        <x:v>Fat Sources</x:v>
      </x:c>
      <x:c r="B144" s="7" t="n">
        <x:v>29</x:v>
      </x:c>
      <x:c r="C144" s="7" t="str">
        <x:v>Palm oil</x:v>
      </x:c>
      <x:c r="D144" s="7" t="str">
        <x:v>USDA SR28 (2015)</x:v>
      </x:c>
      <x:c r="E144" s="7" t="str">
        <x:v>NDB 04055</x:v>
      </x:c>
      <x:c r="F144" s="7" t="str">
        <x:v>Oil, palm</x:v>
      </x:c>
      <x:c r="G144" s="26" t="n">
        <x:v>0</x:v>
      </x:c>
      <x:c r="H144" s="26" t="n">
        <x:v>0</x:v>
      </x:c>
      <x:c r="I144" s="26" t="n">
        <x:v>100</x:v>
      </x:c>
      <x:c r="J144" s="26" t="n">
        <x:v>0</x:v>
      </x:c>
      <x:c r="K144" s="26" t="n">
        <x:v>884</x:v>
      </x:c>
      <x:c r="L144" s="7" t="str">
        <x:v>kcal</x:v>
      </x:c>
      <x:c r="M144" s="7" t="str">
        <x:v>https://fdc.nal.usda.gov/</x:v>
      </x:c>
      <x:c r="N144" s="7" t="str">
        <x:v>SR28 NDB 04055; nutrients 203,205,204,208</x:v>
      </x:c>
      <x:c r="O144" s="7" t="str">
        <x:v>USDA total carbohydrate. Generic composition; Indian brands and recipes can differ.</x:v>
      </x:c>
      <x:c r="P144" s="7" t="str">
        <x:v>USDA recorded household weights, edible grams; sizes and recipes vary.</x:v>
      </x:c>
    </x:row>
    <x:row r="145" ht="64" customHeight="1">
      <x:c r="A145" s="5" t="str">
        <x:v>Fat Sources</x:v>
      </x:c>
      <x:c r="B145" s="5" t="n">
        <x:v>30</x:v>
      </x:c>
      <x:c r="C145" s="5" t="str">
        <x:v>Sesame / gingelly oil</x:v>
      </x:c>
      <x:c r="D145" s="5" t="str">
        <x:v>USDA SR28 (2015)</x:v>
      </x:c>
      <x:c r="E145" s="5" t="str">
        <x:v>NDB 04058</x:v>
      </x:c>
      <x:c r="F145" s="5" t="str">
        <x:v>Oil, sesame, salad or cooking</x:v>
      </x:c>
      <x:c r="G145" s="24" t="n">
        <x:v>0</x:v>
      </x:c>
      <x:c r="H145" s="24" t="n">
        <x:v>0</x:v>
      </x:c>
      <x:c r="I145" s="24" t="n">
        <x:v>100</x:v>
      </x:c>
      <x:c r="J145" s="24" t="n">
        <x:v>0</x:v>
      </x:c>
      <x:c r="K145" s="24" t="n">
        <x:v>884</x:v>
      </x:c>
      <x:c r="L145" s="5" t="str">
        <x:v>kcal</x:v>
      </x:c>
      <x:c r="M145" s="5" t="str">
        <x:v>https://fdc.nal.usda.gov/</x:v>
      </x:c>
      <x:c r="N145" s="5" t="str">
        <x:v>SR28 NDB 04058; nutrients 203,205,204,208</x:v>
      </x:c>
      <x:c r="O145" s="5" t="str">
        <x:v>USDA total carbohydrate. Generic composition; Indian brands and recipes can differ.</x:v>
      </x:c>
      <x:c r="P145" s="5" t="str">
        <x:v>USDA recorded household weights, edible grams; sizes and recipes vary.</x:v>
      </x:c>
    </x:row>
    <x:row r="146" ht="64" customHeight="1">
      <x:c r="A146" s="7" t="str">
        <x:v>Fat Sources</x:v>
      </x:c>
      <x:c r="B146" s="7" t="n">
        <x:v>31</x:v>
      </x:c>
      <x:c r="C146" s="7" t="str">
        <x:v>Cottonseed oil</x:v>
      </x:c>
      <x:c r="D146" s="7" t="str">
        <x:v>USDA SR28 (2015)</x:v>
      </x:c>
      <x:c r="E146" s="7" t="str">
        <x:v>NDB 04502</x:v>
      </x:c>
      <x:c r="F146" s="7" t="str">
        <x:v>Oil, cottonseed, salad or cooking</x:v>
      </x:c>
      <x:c r="G146" s="26" t="n">
        <x:v>0</x:v>
      </x:c>
      <x:c r="H146" s="26" t="n">
        <x:v>0</x:v>
      </x:c>
      <x:c r="I146" s="26" t="n">
        <x:v>100</x:v>
      </x:c>
      <x:c r="J146" s="26" t="n">
        <x:v>0</x:v>
      </x:c>
      <x:c r="K146" s="26" t="n">
        <x:v>884</x:v>
      </x:c>
      <x:c r="L146" s="7" t="str">
        <x:v>kcal</x:v>
      </x:c>
      <x:c r="M146" s="7" t="str">
        <x:v>https://fdc.nal.usda.gov/</x:v>
      </x:c>
      <x:c r="N146" s="7" t="str">
        <x:v>SR28 NDB 04502; nutrients 203,205,204,208</x:v>
      </x:c>
      <x:c r="O146" s="7" t="str">
        <x:v>USDA total carbohydrate. Generic composition; Indian brands and recipes can differ.</x:v>
      </x:c>
      <x:c r="P146" s="7" t="str">
        <x:v>USDA recorded household weights, edible grams; sizes and recipes vary.</x:v>
      </x:c>
    </x:row>
    <x:row r="147" ht="64" customHeight="1">
      <x:c r="A147" s="5" t="str">
        <x:v>Fat Sources</x:v>
      </x:c>
      <x:c r="B147" s="5" t="n">
        <x:v>32</x:v>
      </x:c>
      <x:c r="C147" s="5" t="str">
        <x:v>Sunflower oil, linoleic type</x:v>
      </x:c>
      <x:c r="D147" s="5" t="str">
        <x:v>USDA SR28 (2015)</x:v>
      </x:c>
      <x:c r="E147" s="5" t="str">
        <x:v>NDB 04506</x:v>
      </x:c>
      <x:c r="F147" s="5" t="str">
        <x:v>Oil, sunflower, linoleic, (approx. 65%)</x:v>
      </x:c>
      <x:c r="G147" s="24" t="n">
        <x:v>0</x:v>
      </x:c>
      <x:c r="H147" s="24" t="n">
        <x:v>0</x:v>
      </x:c>
      <x:c r="I147" s="24" t="n">
        <x:v>100</x:v>
      </x:c>
      <x:c r="J147" s="24" t="n">
        <x:v>0</x:v>
      </x:c>
      <x:c r="K147" s="24" t="n">
        <x:v>884</x:v>
      </x:c>
      <x:c r="L147" s="5" t="str">
        <x:v>kcal</x:v>
      </x:c>
      <x:c r="M147" s="5" t="str">
        <x:v>https://fdc.nal.usda.gov/</x:v>
      </x:c>
      <x:c r="N147" s="5" t="str">
        <x:v>SR28 NDB 04506; nutrients 203,205,204,208</x:v>
      </x:c>
      <x:c r="O147" s="5" t="str">
        <x:v>USDA total carbohydrate. Generic composition; Indian brands and recipes can differ.</x:v>
      </x:c>
      <x:c r="P147" s="5" t="str">
        <x:v>USDA recorded household weights, edible grams; sizes and recipes vary.</x:v>
      </x:c>
    </x:row>
    <x:row r="148" ht="64" customHeight="1">
      <x:c r="A148" s="7" t="str">
        <x:v>Fat Sources</x:v>
      </x:c>
      <x:c r="B148" s="7" t="n">
        <x:v>33</x:v>
      </x:c>
      <x:c r="C148" s="7" t="str">
        <x:v>Safflower / kardi oil, linoleic type</x:v>
      </x:c>
      <x:c r="D148" s="7" t="str">
        <x:v>USDA SR28 (2015)</x:v>
      </x:c>
      <x:c r="E148" s="7" t="str">
        <x:v>NDB 04510</x:v>
      </x:c>
      <x:c r="F148" s="7" t="str">
        <x:v>Oil, safflower, salad or cooking, linoleic, (over 70%)</x:v>
      </x:c>
      <x:c r="G148" s="26" t="n">
        <x:v>0</x:v>
      </x:c>
      <x:c r="H148" s="26" t="n">
        <x:v>0</x:v>
      </x:c>
      <x:c r="I148" s="26" t="n">
        <x:v>100</x:v>
      </x:c>
      <x:c r="J148" s="26" t="n">
        <x:v>0</x:v>
      </x:c>
      <x:c r="K148" s="26" t="n">
        <x:v>884</x:v>
      </x:c>
      <x:c r="L148" s="7" t="str">
        <x:v>kcal</x:v>
      </x:c>
      <x:c r="M148" s="7" t="str">
        <x:v>https://fdc.nal.usda.gov/</x:v>
      </x:c>
      <x:c r="N148" s="7" t="str">
        <x:v>SR28 NDB 04510; nutrients 203,205,204,208</x:v>
      </x:c>
      <x:c r="O148" s="7" t="str">
        <x:v>USDA total carbohydrate. Generic composition; Indian brands and recipes can differ.</x:v>
      </x:c>
      <x:c r="P148" s="7" t="str">
        <x:v>USDA recorded household weights, edible grams; sizes and recipes vary.</x:v>
      </x:c>
    </x:row>
    <x:row r="149" ht="64" customHeight="1">
      <x:c r="A149" s="5" t="str">
        <x:v>Fat Sources</x:v>
      </x:c>
      <x:c r="B149" s="5" t="n">
        <x:v>34</x:v>
      </x:c>
      <x:c r="C149" s="5" t="str">
        <x:v>Corn oil</x:v>
      </x:c>
      <x:c r="D149" s="5" t="str">
        <x:v>USDA SR28 (2015)</x:v>
      </x:c>
      <x:c r="E149" s="5" t="str">
        <x:v>NDB 04518</x:v>
      </x:c>
      <x:c r="F149" s="5" t="str">
        <x:v>Oil, corn, industrial and retail, all purpose salad or cooking</x:v>
      </x:c>
      <x:c r="G149" s="24" t="n">
        <x:v>0</x:v>
      </x:c>
      <x:c r="H149" s="24" t="n">
        <x:v>0</x:v>
      </x:c>
      <x:c r="I149" s="24" t="n">
        <x:v>100</x:v>
      </x:c>
      <x:c r="J149" s="24" t="n">
        <x:v>0</x:v>
      </x:c>
      <x:c r="K149" s="24" t="n">
        <x:v>900</x:v>
      </x:c>
      <x:c r="L149" s="5" t="str">
        <x:v>kcal</x:v>
      </x:c>
      <x:c r="M149" s="5" t="str">
        <x:v>https://fdc.nal.usda.gov/</x:v>
      </x:c>
      <x:c r="N149" s="5" t="str">
        <x:v>SR28 NDB 04518; nutrients 203,205,204,208</x:v>
      </x:c>
      <x:c r="O149" s="5" t="str">
        <x:v>USDA total carbohydrate. Generic composition; Indian brands and recipes can differ.</x:v>
      </x:c>
      <x:c r="P149" s="5" t="str">
        <x:v>USDA recorded household weights, edible grams; sizes and recipes vary.</x:v>
      </x:c>
    </x:row>
    <x:row r="150" ht="64" customHeight="1">
      <x:c r="A150" s="7" t="str">
        <x:v>Fat Sources</x:v>
      </x:c>
      <x:c r="B150" s="7" t="n">
        <x:v>35</x:v>
      </x:c>
      <x:c r="C150" s="7" t="str">
        <x:v>Canola oil</x:v>
      </x:c>
      <x:c r="D150" s="7" t="str">
        <x:v>USDA SR28 (2015)</x:v>
      </x:c>
      <x:c r="E150" s="7" t="str">
        <x:v>NDB 04582</x:v>
      </x:c>
      <x:c r="F150" s="7" t="str">
        <x:v>Oil, canola</x:v>
      </x:c>
      <x:c r="G150" s="26" t="n">
        <x:v>0</x:v>
      </x:c>
      <x:c r="H150" s="26" t="n">
        <x:v>0</x:v>
      </x:c>
      <x:c r="I150" s="26" t="n">
        <x:v>100</x:v>
      </x:c>
      <x:c r="J150" s="26" t="n">
        <x:v>0</x:v>
      </x:c>
      <x:c r="K150" s="26" t="n">
        <x:v>884</x:v>
      </x:c>
      <x:c r="L150" s="7" t="str">
        <x:v>kcal</x:v>
      </x:c>
      <x:c r="M150" s="7" t="str">
        <x:v>https://fdc.nal.usda.gov/</x:v>
      </x:c>
      <x:c r="N150" s="7" t="str">
        <x:v>SR28 NDB 04582; nutrients 203,205,204,208</x:v>
      </x:c>
      <x:c r="O150" s="7" t="str">
        <x:v>USDA total carbohydrate. Generic composition; Indian brands and recipes can differ.</x:v>
      </x:c>
      <x:c r="P150" s="7" t="str">
        <x:v>USDA recorded household weights, edible grams; sizes and recipes vary.</x:v>
      </x:c>
    </x:row>
    <x:row r="151" ht="64" customHeight="1">
      <x:c r="A151" s="5" t="str">
        <x:v>Fat Sources</x:v>
      </x:c>
      <x:c r="B151" s="5" t="n">
        <x:v>36</x:v>
      </x:c>
      <x:c r="C151" s="5" t="str">
        <x:v>Mustard oil</x:v>
      </x:c>
      <x:c r="D151" s="5" t="str">
        <x:v>USDA SR28 (2015)</x:v>
      </x:c>
      <x:c r="E151" s="5" t="str">
        <x:v>NDB 04583</x:v>
      </x:c>
      <x:c r="F151" s="5" t="str">
        <x:v>Oil, mustard</x:v>
      </x:c>
      <x:c r="G151" s="24" t="n">
        <x:v>0</x:v>
      </x:c>
      <x:c r="H151" s="24" t="n">
        <x:v>0</x:v>
      </x:c>
      <x:c r="I151" s="24" t="n">
        <x:v>100</x:v>
      </x:c>
      <x:c r="J151" s="24" t="n">
        <x:v>0</x:v>
      </x:c>
      <x:c r="K151" s="24" t="n">
        <x:v>884</x:v>
      </x:c>
      <x:c r="L151" s="5" t="str">
        <x:v>kcal</x:v>
      </x:c>
      <x:c r="M151" s="5" t="str">
        <x:v>https://fdc.nal.usda.gov/</x:v>
      </x:c>
      <x:c r="N151" s="5" t="str">
        <x:v>SR28 NDB 04583; nutrients 203,205,204,208</x:v>
      </x:c>
      <x:c r="O151" s="5" t="str">
        <x:v>USDA total carbohydrate. Generic composition; Indian brands and recipes can differ.</x:v>
      </x:c>
      <x:c r="P151" s="5" t="str">
        <x:v>USDA recorded household weights, edible grams; sizes and recipes vary.</x:v>
      </x:c>
    </x:row>
    <x:row r="152" ht="64" customHeight="1">
      <x:c r="A152" s="7" t="str">
        <x:v>Fat Sources</x:v>
      </x:c>
      <x:c r="B152" s="7" t="n">
        <x:v>37</x:v>
      </x:c>
      <x:c r="C152" s="7" t="str">
        <x:v>Flaxseed / alsi oil, cold-pressed</x:v>
      </x:c>
      <x:c r="D152" s="7" t="str">
        <x:v>USDA SR28 (2015)</x:v>
      </x:c>
      <x:c r="E152" s="7" t="str">
        <x:v>NDB 42231</x:v>
      </x:c>
      <x:c r="F152" s="7" t="str">
        <x:v>Oil, flaxseed, cold pressed</x:v>
      </x:c>
      <x:c r="G152" s="26" t="n">
        <x:v>0.11</x:v>
      </x:c>
      <x:c r="H152" s="26" t="n">
        <x:v>0</x:v>
      </x:c>
      <x:c r="I152" s="26" t="n">
        <x:v>99.98</x:v>
      </x:c>
      <x:c r="J152" s="26" t="n">
        <x:v>0</x:v>
      </x:c>
      <x:c r="K152" s="26" t="n">
        <x:v>884</x:v>
      </x:c>
      <x:c r="L152" s="7" t="str">
        <x:v>kcal</x:v>
      </x:c>
      <x:c r="M152" s="7" t="str">
        <x:v>https://fdc.nal.usda.gov/</x:v>
      </x:c>
      <x:c r="N152" s="7" t="str">
        <x:v>SR28 NDB 42231; nutrients 203,205,204,208</x:v>
      </x:c>
      <x:c r="O152" s="7" t="str">
        <x:v>USDA total carbohydrate. Generic composition; Indian brands and recipes can differ.</x:v>
      </x:c>
      <x:c r="P152" s="7" t="str">
        <x:v>USDA recorded household weights, edible grams; sizes and recipes vary.</x:v>
      </x:c>
    </x:row>
    <x:row r="153" ht="64" customHeight="1">
      <x:c r="A153" s="5" t="str">
        <x:v>Fat Sources</x:v>
      </x:c>
      <x:c r="B153" s="5" t="n">
        <x:v>38</x:v>
      </x:c>
      <x:c r="C153" s="5" t="str">
        <x:v>Butter, salted</x:v>
      </x:c>
      <x:c r="D153" s="5" t="str">
        <x:v>USDA SR28 (2015)</x:v>
      </x:c>
      <x:c r="E153" s="5" t="str">
        <x:v>NDB 01001</x:v>
      </x:c>
      <x:c r="F153" s="5" t="str">
        <x:v>Butter, salted</x:v>
      </x:c>
      <x:c r="G153" s="24" t="n">
        <x:v>0.85</x:v>
      </x:c>
      <x:c r="H153" s="24" t="n">
        <x:v>0.06</x:v>
      </x:c>
      <x:c r="I153" s="24" t="n">
        <x:v>81.11</x:v>
      </x:c>
      <x:c r="J153" s="24" t="n">
        <x:v>0</x:v>
      </x:c>
      <x:c r="K153" s="24" t="n">
        <x:v>717</x:v>
      </x:c>
      <x:c r="L153" s="5" t="str">
        <x:v>kcal</x:v>
      </x:c>
      <x:c r="M153" s="5" t="str">
        <x:v>https://fdc.nal.usda.gov/</x:v>
      </x:c>
      <x:c r="N153" s="5" t="str">
        <x:v>SR28 NDB 01001; nutrients 203,205,204,208</x:v>
      </x:c>
      <x:c r="O153" s="5" t="str">
        <x:v>USDA total carbohydrate. Generic composition; Indian brands and recipes can differ.</x:v>
      </x:c>
      <x:c r="P153" s="5" t="str">
        <x:v>USDA recorded household weights, edible grams; sizes and recipes vary.</x:v>
      </x:c>
    </x:row>
    <x:row r="154" ht="64" customHeight="1">
      <x:c r="A154" s="7" t="str">
        <x:v>Fat Sources</x:v>
      </x:c>
      <x:c r="B154" s="7" t="n">
        <x:v>39</x:v>
      </x:c>
      <x:c r="C154" s="7" t="str">
        <x:v>Butter, unsalted</x:v>
      </x:c>
      <x:c r="D154" s="7" t="str">
        <x:v>USDA SR28 (2015)</x:v>
      </x:c>
      <x:c r="E154" s="7" t="str">
        <x:v>NDB 01145</x:v>
      </x:c>
      <x:c r="F154" s="7" t="str">
        <x:v>Butter, without salt</x:v>
      </x:c>
      <x:c r="G154" s="26" t="n">
        <x:v>0.85</x:v>
      </x:c>
      <x:c r="H154" s="26" t="n">
        <x:v>0.06</x:v>
      </x:c>
      <x:c r="I154" s="26" t="n">
        <x:v>81.11</x:v>
      </x:c>
      <x:c r="J154" s="26" t="n">
        <x:v>0</x:v>
      </x:c>
      <x:c r="K154" s="26" t="n">
        <x:v>717</x:v>
      </x:c>
      <x:c r="L154" s="7" t="str">
        <x:v>kcal</x:v>
      </x:c>
      <x:c r="M154" s="7" t="str">
        <x:v>https://fdc.nal.usda.gov/</x:v>
      </x:c>
      <x:c r="N154" s="7" t="str">
        <x:v>SR28 NDB 01145; nutrients 203,205,204,208</x:v>
      </x:c>
      <x:c r="O154" s="7" t="str">
        <x:v>USDA total carbohydrate. Generic composition; Indian brands and recipes can differ.</x:v>
      </x:c>
      <x:c r="P154" s="7" t="str">
        <x:v>USDA recorded household weights, edible grams; sizes and recipes vary.</x:v>
      </x:c>
    </x:row>
    <x:row r="155" ht="64" customHeight="1">
      <x:c r="A155" s="5" t="str">
        <x:v>Fat Sources</x:v>
      </x:c>
      <x:c r="B155" s="5" t="n">
        <x:v>40</x:v>
      </x:c>
      <x:c r="C155" s="5" t="str">
        <x:v>Ghee reference: anhydrous butter oil</x:v>
      </x:c>
      <x:c r="D155" s="5" t="str">
        <x:v>USDA SR28 (2015)</x:v>
      </x:c>
      <x:c r="E155" s="5" t="str">
        <x:v>NDB 01003</x:v>
      </x:c>
      <x:c r="F155" s="5" t="str">
        <x:v>Butter oil, anhydrous</x:v>
      </x:c>
      <x:c r="G155" s="24" t="n">
        <x:v>0.28</x:v>
      </x:c>
      <x:c r="H155" s="24" t="n">
        <x:v>0</x:v>
      </x:c>
      <x:c r="I155" s="24" t="n">
        <x:v>99.48</x:v>
      </x:c>
      <x:c r="J155" s="24" t="n">
        <x:v>0</x:v>
      </x:c>
      <x:c r="K155" s="24" t="n">
        <x:v>876</x:v>
      </x:c>
      <x:c r="L155" s="5" t="str">
        <x:v>kcal</x:v>
      </x:c>
      <x:c r="M155" s="5" t="str">
        <x:v>https://fdc.nal.usda.gov/</x:v>
      </x:c>
      <x:c r="N155" s="5" t="str">
        <x:v>SR28 NDB 01003; nutrients 203,205,204,208</x:v>
      </x:c>
      <x:c r="O155" s="5" t="str">
        <x:v>Explicit analogue, not an analysed Indian product: Butter oil, anhydrous. Use brand/recipe values when available.</x:v>
      </x:c>
      <x:c r="P155" s="5" t="str">
        <x:v>USDA recorded household weights, edible grams; sizes and recipes vary.</x:v>
      </x:c>
    </x:row>
    <x:row r="156" ht="64" customHeight="1">
      <x:c r="A156" s="7" t="str">
        <x:v>Fat Sources</x:v>
      </x:c>
      <x:c r="B156" s="7" t="n">
        <x:v>41</x:v>
      </x:c>
      <x:c r="C156" s="7" t="str">
        <x:v>Pumpkin seed kernels, dried</x:v>
      </x:c>
      <x:c r="D156" s="7" t="str">
        <x:v>USDA SR28 (2015)</x:v>
      </x:c>
      <x:c r="E156" s="7" t="str">
        <x:v>NDB 12014</x:v>
      </x:c>
      <x:c r="F156" s="7" t="str">
        <x:v>Seeds, pumpkin and squash seed kernels, dried</x:v>
      </x:c>
      <x:c r="G156" s="26" t="n">
        <x:v>30.23</x:v>
      </x:c>
      <x:c r="H156" s="26" t="n">
        <x:v>10.71</x:v>
      </x:c>
      <x:c r="I156" s="26" t="n">
        <x:v>49.05</x:v>
      </x:c>
      <x:c r="J156" s="26" t="n">
        <x:v>6</x:v>
      </x:c>
      <x:c r="K156" s="26" t="n">
        <x:v>559</x:v>
      </x:c>
      <x:c r="L156" s="7" t="str">
        <x:v>kcal</x:v>
      </x:c>
      <x:c r="M156" s="7" t="str">
        <x:v>https://fdc.nal.usda.gov/</x:v>
      </x:c>
      <x:c r="N156" s="7" t="str">
        <x:v>SR28 NDB 12014; nutrients 203,205,204,208</x:v>
      </x:c>
      <x:c r="O156" s="7" t="str">
        <x:v>USDA total carbohydrate. Generic composition; Indian brands and recipes can differ.</x:v>
      </x:c>
      <x:c r="P156" s="7" t="str">
        <x:v>USDA recorded household weights, edible grams; sizes and recipes vary.</x:v>
      </x:c>
    </x:row>
    <x:row r="157" ht="64" customHeight="1">
      <x:c r="A157" s="5" t="str">
        <x:v>Fat Sources</x:v>
      </x:c>
      <x:c r="B157" s="5" t="n">
        <x:v>42</x:v>
      </x:c>
      <x:c r="C157" s="5" t="str">
        <x:v>Chia seeds, dried</x:v>
      </x:c>
      <x:c r="D157" s="5" t="str">
        <x:v>USDA SR28 (2015)</x:v>
      </x:c>
      <x:c r="E157" s="5" t="str">
        <x:v>NDB 12006</x:v>
      </x:c>
      <x:c r="F157" s="5" t="str">
        <x:v>Seeds, chia seeds, dried</x:v>
      </x:c>
      <x:c r="G157" s="24" t="n">
        <x:v>16.54</x:v>
      </x:c>
      <x:c r="H157" s="24" t="n">
        <x:v>42.12</x:v>
      </x:c>
      <x:c r="I157" s="24" t="n">
        <x:v>30.74</x:v>
      </x:c>
      <x:c r="J157" s="24" t="n">
        <x:v>34.4</x:v>
      </x:c>
      <x:c r="K157" s="24" t="n">
        <x:v>486</x:v>
      </x:c>
      <x:c r="L157" s="5" t="str">
        <x:v>kcal</x:v>
      </x:c>
      <x:c r="M157" s="5" t="str">
        <x:v>https://fdc.nal.usda.gov/</x:v>
      </x:c>
      <x:c r="N157" s="5" t="str">
        <x:v>SR28 NDB 12006; nutrients 203,205,204,208</x:v>
      </x:c>
      <x:c r="O157" s="5" t="str">
        <x:v>USDA total carbohydrate. Generic composition; Indian brands and recipes can differ.</x:v>
      </x:c>
      <x:c r="P157" s="5" t="str">
        <x:v>USDA recorded household weights, edible grams; sizes and recipes vary.</x:v>
      </x:c>
    </x:row>
    <x:row r="158" ht="64" customHeight="1">
      <x:c r="A158" s="7" t="str">
        <x:v>Fat Sources</x:v>
      </x:c>
      <x:c r="B158" s="7" t="n">
        <x:v>43</x:v>
      </x:c>
      <x:c r="C158" s="7" t="str">
        <x:v>Hemp seeds, hulled</x:v>
      </x:c>
      <x:c r="D158" s="7" t="str">
        <x:v>USDA SR28 (2015)</x:v>
      </x:c>
      <x:c r="E158" s="7" t="str">
        <x:v>NDB 12012</x:v>
      </x:c>
      <x:c r="F158" s="7" t="str">
        <x:v>Seeds, hemp seed, hulled</x:v>
      </x:c>
      <x:c r="G158" s="26" t="n">
        <x:v>31.56</x:v>
      </x:c>
      <x:c r="H158" s="26" t="n">
        <x:v>8.67</x:v>
      </x:c>
      <x:c r="I158" s="26" t="n">
        <x:v>48.75</x:v>
      </x:c>
      <x:c r="J158" s="26" t="n">
        <x:v>4</x:v>
      </x:c>
      <x:c r="K158" s="26" t="n">
        <x:v>553</x:v>
      </x:c>
      <x:c r="L158" s="7" t="str">
        <x:v>kcal</x:v>
      </x:c>
      <x:c r="M158" s="7" t="str">
        <x:v>https://fdc.nal.usda.gov/</x:v>
      </x:c>
      <x:c r="N158" s="7" t="str">
        <x:v>SR28 NDB 12012; nutrients 203,205,204,208</x:v>
      </x:c>
      <x:c r="O158" s="7" t="str">
        <x:v>USDA total carbohydrate. Generic composition; Indian brands and recipes can differ.</x:v>
      </x:c>
      <x:c r="P158" s="7" t="str">
        <x:v>USDA recorded household weights, edible grams; sizes and recipes vary.</x:v>
      </x:c>
    </x:row>
    <x:row r="159" ht="64" customHeight="1">
      <x:c r="A159" s="5" t="str">
        <x:v>Fat Sources</x:v>
      </x:c>
      <x:c r="B159" s="5" t="n">
        <x:v>44</x:v>
      </x:c>
      <x:c r="C159" s="5" t="str">
        <x:v>Watermelon seed kernels, dried</x:v>
      </x:c>
      <x:c r="D159" s="5" t="str">
        <x:v>USDA SR28 (2015)</x:v>
      </x:c>
      <x:c r="E159" s="5" t="str">
        <x:v>NDB 12174</x:v>
      </x:c>
      <x:c r="F159" s="5" t="str">
        <x:v>Seeds, watermelon seed kernels, dried</x:v>
      </x:c>
      <x:c r="G159" s="24" t="n">
        <x:v>28.33</x:v>
      </x:c>
      <x:c r="H159" s="24" t="n">
        <x:v>15.31</x:v>
      </x:c>
      <x:c r="I159" s="24" t="n">
        <x:v>47.37</x:v>
      </x:c>
      <x:c r="J159" s="24"/>
      <x:c r="K159" s="24" t="n">
        <x:v>557</x:v>
      </x:c>
      <x:c r="L159" s="5" t="str">
        <x:v>kcal</x:v>
      </x:c>
      <x:c r="M159" s="5" t="str">
        <x:v>https://fdc.nal.usda.gov/</x:v>
      </x:c>
      <x:c r="N159" s="5" t="str">
        <x:v>SR28 NDB 12174; nutrients 203,205,204,208</x:v>
      </x:c>
      <x:c r="O159" s="5" t="str">
        <x:v>USDA total carbohydrate. Generic composition; Indian brands and recipes can differ.</x:v>
      </x:c>
      <x:c r="P159" s="5" t="str">
        <x:v>USDA recorded household weights, edible grams; sizes and recipes vary.</x:v>
      </x:c>
    </x:row>
    <x:row r="160" ht="64" customHeight="1">
      <x:c r="A160" s="7" t="str">
        <x:v>Fat Sources</x:v>
      </x:c>
      <x:c r="B160" s="7" t="n">
        <x:v>45</x:v>
      </x:c>
      <x:c r="C160" s="7" t="str">
        <x:v>Almonds, dry-roasted, unsalted</x:v>
      </x:c>
      <x:c r="D160" s="7" t="str">
        <x:v>USDA SR28 (2015)</x:v>
      </x:c>
      <x:c r="E160" s="7" t="str">
        <x:v>NDB 12063</x:v>
      </x:c>
      <x:c r="F160" s="7" t="str">
        <x:v>Nuts, almonds, dry roasted, without salt added</x:v>
      </x:c>
      <x:c r="G160" s="26" t="n">
        <x:v>20.96</x:v>
      </x:c>
      <x:c r="H160" s="26" t="n">
        <x:v>21.01</x:v>
      </x:c>
      <x:c r="I160" s="26" t="n">
        <x:v>52.54</x:v>
      </x:c>
      <x:c r="J160" s="26" t="n">
        <x:v>10.9</x:v>
      </x:c>
      <x:c r="K160" s="26" t="n">
        <x:v>598</x:v>
      </x:c>
      <x:c r="L160" s="7" t="str">
        <x:v>kcal</x:v>
      </x:c>
      <x:c r="M160" s="7" t="str">
        <x:v>https://fdc.nal.usda.gov/</x:v>
      </x:c>
      <x:c r="N160" s="7" t="str">
        <x:v>SR28 NDB 12063; nutrients 203,205,204,208</x:v>
      </x:c>
      <x:c r="O160" s="7" t="str">
        <x:v>USDA total carbohydrate. Generic composition; Indian brands and recipes can differ.</x:v>
      </x:c>
      <x:c r="P160" s="7" t="str">
        <x:v>USDA recorded household weights, edible grams; sizes and recipes vary.</x:v>
      </x:c>
    </x:row>
    <x:row r="161" ht="64" customHeight="1">
      <x:c r="A161" s="5" t="str">
        <x:v>Fat Sources</x:v>
      </x:c>
      <x:c r="B161" s="5" t="n">
        <x:v>46</x:v>
      </x:c>
      <x:c r="C161" s="5" t="str">
        <x:v>Cashews, dry-roasted, unsalted</x:v>
      </x:c>
      <x:c r="D161" s="5" t="str">
        <x:v>USDA SR28 (2015)</x:v>
      </x:c>
      <x:c r="E161" s="5" t="str">
        <x:v>NDB 12085</x:v>
      </x:c>
      <x:c r="F161" s="5" t="str">
        <x:v>Nuts, cashew nuts, dry roasted, without salt added</x:v>
      </x:c>
      <x:c r="G161" s="24" t="n">
        <x:v>15.31</x:v>
      </x:c>
      <x:c r="H161" s="24" t="n">
        <x:v>32.69</x:v>
      </x:c>
      <x:c r="I161" s="24" t="n">
        <x:v>46.35</x:v>
      </x:c>
      <x:c r="J161" s="24" t="n">
        <x:v>3</x:v>
      </x:c>
      <x:c r="K161" s="24" t="n">
        <x:v>574</x:v>
      </x:c>
      <x:c r="L161" s="5" t="str">
        <x:v>kcal</x:v>
      </x:c>
      <x:c r="M161" s="5" t="str">
        <x:v>https://fdc.nal.usda.gov/</x:v>
      </x:c>
      <x:c r="N161" s="5" t="str">
        <x:v>SR28 NDB 12085; nutrients 203,205,204,208</x:v>
      </x:c>
      <x:c r="O161" s="5" t="str">
        <x:v>USDA total carbohydrate. Generic composition; Indian brands and recipes can differ.</x:v>
      </x:c>
      <x:c r="P161" s="5" t="str">
        <x:v>USDA recorded household weights, edible grams; sizes and recipes vary.</x:v>
      </x:c>
    </x:row>
    <x:row r="162" ht="64" customHeight="1">
      <x:c r="A162" s="7" t="str">
        <x:v>Fat Sources</x:v>
      </x:c>
      <x:c r="B162" s="7" t="n">
        <x:v>47</x:v>
      </x:c>
      <x:c r="C162" s="7" t="str">
        <x:v>Pistachios, dry-roasted, unsalted</x:v>
      </x:c>
      <x:c r="D162" s="7" t="str">
        <x:v>USDA SR28 (2015)</x:v>
      </x:c>
      <x:c r="E162" s="7" t="str">
        <x:v>NDB 12152</x:v>
      </x:c>
      <x:c r="F162" s="7" t="str">
        <x:v>Nuts, pistachio nuts, dry roasted, without salt added</x:v>
      </x:c>
      <x:c r="G162" s="26" t="n">
        <x:v>21.05</x:v>
      </x:c>
      <x:c r="H162" s="26" t="n">
        <x:v>28.28</x:v>
      </x:c>
      <x:c r="I162" s="26" t="n">
        <x:v>45.82</x:v>
      </x:c>
      <x:c r="J162" s="26" t="n">
        <x:v>10.3</x:v>
      </x:c>
      <x:c r="K162" s="26" t="n">
        <x:v>572</x:v>
      </x:c>
      <x:c r="L162" s="7" t="str">
        <x:v>kcal</x:v>
      </x:c>
      <x:c r="M162" s="7" t="str">
        <x:v>https://fdc.nal.usda.gov/</x:v>
      </x:c>
      <x:c r="N162" s="7" t="str">
        <x:v>SR28 NDB 12152; nutrients 203,205,204,208</x:v>
      </x:c>
      <x:c r="O162" s="7" t="str">
        <x:v>USDA total carbohydrate. Generic composition; Indian brands and recipes can differ.</x:v>
      </x:c>
      <x:c r="P162" s="7" t="str">
        <x:v>USDA recorded household weights, edible grams; sizes and recipes vary.</x:v>
      </x:c>
    </x:row>
    <x:row r="163" ht="64" customHeight="1">
      <x:c r="A163" s="5" t="str">
        <x:v>Fat Sources</x:v>
      </x:c>
      <x:c r="B163" s="5" t="n">
        <x:v>48</x:v>
      </x:c>
      <x:c r="C163" s="5" t="str">
        <x:v>Peanuts, dry-roasted, unsalted</x:v>
      </x:c>
      <x:c r="D163" s="5" t="str">
        <x:v>USDA SR28 (2015)</x:v>
      </x:c>
      <x:c r="E163" s="5" t="str">
        <x:v>NDB 16390</x:v>
      </x:c>
      <x:c r="F163" s="5" t="str">
        <x:v>Peanuts, all types, dry-roasted, without salt</x:v>
      </x:c>
      <x:c r="G163" s="24" t="n">
        <x:v>24.35</x:v>
      </x:c>
      <x:c r="H163" s="24" t="n">
        <x:v>21.26</x:v>
      </x:c>
      <x:c r="I163" s="24" t="n">
        <x:v>49.66</x:v>
      </x:c>
      <x:c r="J163" s="24" t="n">
        <x:v>8.4</x:v>
      </x:c>
      <x:c r="K163" s="24" t="n">
        <x:v>587</x:v>
      </x:c>
      <x:c r="L163" s="5" t="str">
        <x:v>kcal</x:v>
      </x:c>
      <x:c r="M163" s="5" t="str">
        <x:v>https://fdc.nal.usda.gov/</x:v>
      </x:c>
      <x:c r="N163" s="5" t="str">
        <x:v>SR28 NDB 16390; nutrients 203,205,204,208</x:v>
      </x:c>
      <x:c r="O163" s="5" t="str">
        <x:v>USDA total carbohydrate. Generic composition; Indian brands and recipes can differ.</x:v>
      </x:c>
      <x:c r="P163" s="5" t="str">
        <x:v>USDA recorded household weights, edible grams; sizes and recipes vary.</x:v>
      </x:c>
    </x:row>
    <x:row r="164" ht="64" customHeight="1">
      <x:c r="A164" s="7" t="str">
        <x:v>Fat Sources</x:v>
      </x:c>
      <x:c r="B164" s="7" t="n">
        <x:v>49</x:v>
      </x:c>
      <x:c r="C164" s="7" t="str">
        <x:v>Peanut butter, smooth, unsalted</x:v>
      </x:c>
      <x:c r="D164" s="7" t="str">
        <x:v>USDA SR28 (2015)</x:v>
      </x:c>
      <x:c r="E164" s="7" t="str">
        <x:v>NDB 16398</x:v>
      </x:c>
      <x:c r="F164" s="7" t="str">
        <x:v>Peanut butter, smooth style, without salt</x:v>
      </x:c>
      <x:c r="G164" s="26" t="n">
        <x:v>22.21</x:v>
      </x:c>
      <x:c r="H164" s="26" t="n">
        <x:v>22.31</x:v>
      </x:c>
      <x:c r="I164" s="26" t="n">
        <x:v>51.36</x:v>
      </x:c>
      <x:c r="J164" s="26" t="n">
        <x:v>5</x:v>
      </x:c>
      <x:c r="K164" s="26" t="n">
        <x:v>598</x:v>
      </x:c>
      <x:c r="L164" s="7" t="str">
        <x:v>kcal</x:v>
      </x:c>
      <x:c r="M164" s="7" t="str">
        <x:v>https://fdc.nal.usda.gov/</x:v>
      </x:c>
      <x:c r="N164" s="7" t="str">
        <x:v>SR28 NDB 16398; nutrients 203,205,204,208</x:v>
      </x:c>
      <x:c r="O164" s="7" t="str">
        <x:v>USDA total carbohydrate. Generic composition; Indian brands and recipes can differ.</x:v>
      </x:c>
      <x:c r="P164" s="7" t="str">
        <x:v>USDA recorded household weights, edible grams; sizes and recipes vary.</x:v>
      </x:c>
    </x:row>
    <x:row r="165" ht="64" customHeight="1">
      <x:c r="A165" s="5" t="str">
        <x:v>Fat Sources</x:v>
      </x:c>
      <x:c r="B165" s="5" t="n">
        <x:v>50</x:v>
      </x:c>
      <x:c r="C165" s="5" t="str">
        <x:v>Almond butter, plain, unsalted</x:v>
      </x:c>
      <x:c r="D165" s="5" t="str">
        <x:v>USDA SR28 (2015)</x:v>
      </x:c>
      <x:c r="E165" s="5" t="str">
        <x:v>NDB 12195</x:v>
      </x:c>
      <x:c r="F165" s="5" t="str">
        <x:v>Nuts, almond butter, plain, without salt added</x:v>
      </x:c>
      <x:c r="G165" s="24" t="n">
        <x:v>20.96</x:v>
      </x:c>
      <x:c r="H165" s="24" t="n">
        <x:v>18.82</x:v>
      </x:c>
      <x:c r="I165" s="24" t="n">
        <x:v>55.5</x:v>
      </x:c>
      <x:c r="J165" s="24" t="n">
        <x:v>10.3</x:v>
      </x:c>
      <x:c r="K165" s="24" t="n">
        <x:v>614</x:v>
      </x:c>
      <x:c r="L165" s="5" t="str">
        <x:v>kcal</x:v>
      </x:c>
      <x:c r="M165" s="5" t="str">
        <x:v>https://fdc.nal.usda.gov/</x:v>
      </x:c>
      <x:c r="N165" s="5" t="str">
        <x:v>SR28 NDB 12195; nutrients 203,205,204,208</x:v>
      </x:c>
      <x:c r="O165" s="5" t="str">
        <x:v>USDA total carbohydrate. Generic composition; Indian brands and recipes can differ.</x:v>
      </x:c>
      <x:c r="P165" s="5" t="str">
        <x:v>USDA recorded household weights, edible grams; sizes and recipes vary.</x:v>
      </x:c>
    </x:row>
    <x:row r="166" ht="64" customHeight="1">
      <x:c r="A166" s="7" t="str">
        <x:v>Fat Sources</x:v>
      </x:c>
      <x:c r="B166" s="7" t="n">
        <x:v>51</x:v>
      </x:c>
      <x:c r="C166" s="7" t="str">
        <x:v>Tahini / roasted sesame paste</x:v>
      </x:c>
      <x:c r="D166" s="7" t="str">
        <x:v>USDA SR28 (2015)</x:v>
      </x:c>
      <x:c r="E166" s="7" t="str">
        <x:v>NDB 12166</x:v>
      </x:c>
      <x:c r="F166" s="7" t="str">
        <x:v>Seeds, sesame butter, tahini, from roasted and toasted kernels (most common type)</x:v>
      </x:c>
      <x:c r="G166" s="26" t="n">
        <x:v>17</x:v>
      </x:c>
      <x:c r="H166" s="26" t="n">
        <x:v>21.19</x:v>
      </x:c>
      <x:c r="I166" s="26" t="n">
        <x:v>53.76</x:v>
      </x:c>
      <x:c r="J166" s="26" t="n">
        <x:v>9.3</x:v>
      </x:c>
      <x:c r="K166" s="26" t="n">
        <x:v>595</x:v>
      </x:c>
      <x:c r="L166" s="7" t="str">
        <x:v>kcal</x:v>
      </x:c>
      <x:c r="M166" s="7" t="str">
        <x:v>https://fdc.nal.usda.gov/</x:v>
      </x:c>
      <x:c r="N166" s="7" t="str">
        <x:v>SR28 NDB 12166; nutrients 203,205,204,208</x:v>
      </x:c>
      <x:c r="O166" s="7" t="str">
        <x:v>USDA total carbohydrate. Generic composition; Indian brands and recipes can differ.</x:v>
      </x:c>
      <x:c r="P166" s="7" t="str">
        <x:v>USDA recorded household weights, edible grams; sizes and recipes vary.</x:v>
      </x:c>
    </x:row>
    <x:row r="167" ht="64" customHeight="1">
      <x:c r="A167" s="5" t="str">
        <x:v>Fat Sources</x:v>
      </x:c>
      <x:c r="B167" s="5" t="n">
        <x:v>52</x:v>
      </x:c>
      <x:c r="C167" s="5" t="str">
        <x:v>Coconut milk, raw, generic preparation</x:v>
      </x:c>
      <x:c r="D167" s="5" t="str">
        <x:v>USDA SR28 (2015)</x:v>
      </x:c>
      <x:c r="E167" s="5" t="str">
        <x:v>NDB 12117</x:v>
      </x:c>
      <x:c r="F167" s="5" t="str">
        <x:v>Nuts, coconut milk, raw (liquid expressed from grated meat and water)</x:v>
      </x:c>
      <x:c r="G167" s="24" t="n">
        <x:v>2.29</x:v>
      </x:c>
      <x:c r="H167" s="24" t="n">
        <x:v>5.54</x:v>
      </x:c>
      <x:c r="I167" s="24" t="n">
        <x:v>23.84</x:v>
      </x:c>
      <x:c r="J167" s="24" t="n">
        <x:v>2.2</x:v>
      </x:c>
      <x:c r="K167" s="24" t="n">
        <x:v>230</x:v>
      </x:c>
      <x:c r="L167" s="5" t="str">
        <x:v>kcal</x:v>
      </x:c>
      <x:c r="M167" s="5" t="str">
        <x:v>https://fdc.nal.usda.gov/</x:v>
      </x:c>
      <x:c r="N167" s="5" t="str">
        <x:v>SR28 NDB 12117; nutrients 203,205,204,208</x:v>
      </x:c>
      <x:c r="O167" s="5" t="str">
        <x:v>USDA total carbohydrate. Generic composition; Indian brands and recipes can differ.</x:v>
      </x:c>
      <x:c r="P167" s="5" t="str">
        <x:v>USDA recorded household weights, edible grams; sizes and recipes vary.</x:v>
      </x:c>
    </x:row>
    <x:row r="168" ht="64" customHeight="1">
      <x:c r="A168" s="7" t="str">
        <x:v>Fat Sources</x:v>
      </x:c>
      <x:c r="B168" s="7" t="n">
        <x:v>53</x:v>
      </x:c>
      <x:c r="C168" s="7" t="str">
        <x:v>Coconut cream, raw, unsweetened</x:v>
      </x:c>
      <x:c r="D168" s="7" t="str">
        <x:v>USDA SR28 (2015)</x:v>
      </x:c>
      <x:c r="E168" s="7" t="str">
        <x:v>NDB 12115</x:v>
      </x:c>
      <x:c r="F168" s="7" t="str">
        <x:v>Nuts, coconut cream, raw (liquid expressed from grated meat)</x:v>
      </x:c>
      <x:c r="G168" s="26" t="n">
        <x:v>3.63</x:v>
      </x:c>
      <x:c r="H168" s="26" t="n">
        <x:v>6.65</x:v>
      </x:c>
      <x:c r="I168" s="26" t="n">
        <x:v>34.68</x:v>
      </x:c>
      <x:c r="J168" s="26" t="n">
        <x:v>2.2</x:v>
      </x:c>
      <x:c r="K168" s="26" t="n">
        <x:v>330</x:v>
      </x:c>
      <x:c r="L168" s="7" t="str">
        <x:v>kcal</x:v>
      </x:c>
      <x:c r="M168" s="7" t="str">
        <x:v>https://fdc.nal.usda.gov/</x:v>
      </x:c>
      <x:c r="N168" s="7" t="str">
        <x:v>SR28 NDB 12115; nutrients 203,205,204,208</x:v>
      </x:c>
      <x:c r="O168" s="7" t="str">
        <x:v>USDA total carbohydrate. Generic composition; Indian brands and recipes can differ.</x:v>
      </x:c>
      <x:c r="P168" s="7" t="str">
        <x:v>USDA recorded household weights, edible grams; sizes and recipes vary.</x:v>
      </x:c>
    </x:row>
    <x:row r="169" ht="64" customHeight="1">
      <x:c r="A169" s="5" t="str">
        <x:v>Fat Sources</x:v>
      </x:c>
      <x:c r="B169" s="5" t="n">
        <x:v>54</x:v>
      </x:c>
      <x:c r="C169" s="5" t="str">
        <x:v>Coconut milk, canned</x:v>
      </x:c>
      <x:c r="D169" s="5" t="str">
        <x:v>USDA SR28 (2015)</x:v>
      </x:c>
      <x:c r="E169" s="5" t="str">
        <x:v>NDB 12118</x:v>
      </x:c>
      <x:c r="F169" s="5" t="str">
        <x:v>Nuts, coconut milk, canned (liquid expressed from grated meat and water)</x:v>
      </x:c>
      <x:c r="G169" s="24" t="n">
        <x:v>2.02</x:v>
      </x:c>
      <x:c r="H169" s="24" t="n">
        <x:v>2.81</x:v>
      </x:c>
      <x:c r="I169" s="24" t="n">
        <x:v>21.33</x:v>
      </x:c>
      <x:c r="J169" s="24"/>
      <x:c r="K169" s="24" t="n">
        <x:v>197</x:v>
      </x:c>
      <x:c r="L169" s="5" t="str">
        <x:v>kcal</x:v>
      </x:c>
      <x:c r="M169" s="5" t="str">
        <x:v>https://fdc.nal.usda.gov/</x:v>
      </x:c>
      <x:c r="N169" s="5" t="str">
        <x:v>SR28 NDB 12118; nutrients 203,205,204,208</x:v>
      </x:c>
      <x:c r="O169" s="5" t="str">
        <x:v>USDA total carbohydrate. Generic composition; Indian brands and recipes can differ.</x:v>
      </x:c>
      <x:c r="P169" s="5" t="str">
        <x:v>USDA recorded household weights, edible grams; sizes and recipes vary.</x:v>
      </x:c>
    </x:row>
    <x:row r="170" ht="64" customHeight="1">
      <x:c r="A170" s="7" t="str">
        <x:v>Fat Sources</x:v>
      </x:c>
      <x:c r="B170" s="7" t="n">
        <x:v>55</x:v>
      </x:c>
      <x:c r="C170" s="7" t="str">
        <x:v>Sunflower kernels, dry-roasted, unsalted</x:v>
      </x:c>
      <x:c r="D170" s="7" t="str">
        <x:v>USDA SR28 (2015)</x:v>
      </x:c>
      <x:c r="E170" s="7" t="str">
        <x:v>NDB 12037</x:v>
      </x:c>
      <x:c r="F170" s="7" t="str">
        <x:v>Seeds, sunflower seed kernels, dry roasted, without salt</x:v>
      </x:c>
      <x:c r="G170" s="26" t="n">
        <x:v>19.33</x:v>
      </x:c>
      <x:c r="H170" s="26" t="n">
        <x:v>24.07</x:v>
      </x:c>
      <x:c r="I170" s="26" t="n">
        <x:v>49.8</x:v>
      </x:c>
      <x:c r="J170" s="26" t="n">
        <x:v>11.1</x:v>
      </x:c>
      <x:c r="K170" s="26" t="n">
        <x:v>582</x:v>
      </x:c>
      <x:c r="L170" s="7" t="str">
        <x:v>kcal</x:v>
      </x:c>
      <x:c r="M170" s="7" t="str">
        <x:v>https://fdc.nal.usda.gov/</x:v>
      </x:c>
      <x:c r="N170" s="7" t="str">
        <x:v>SR28 NDB 12037; nutrients 203,205,204,208</x:v>
      </x:c>
      <x:c r="O170" s="7" t="str">
        <x:v>USDA total carbohydrate. Generic composition; Indian brands and recipes can differ.</x:v>
      </x:c>
      <x:c r="P170" s="7" t="str">
        <x:v>USDA recorded household weights, edible grams; sizes and recipes vary.</x:v>
      </x:c>
    </x:row>
    <x:row r="171" ht="64" customHeight="1">
      <x:c r="A171" s="5" t="str">
        <x:v>Fat Sources</x:v>
      </x:c>
      <x:c r="B171" s="5" t="n">
        <x:v>56</x:v>
      </x:c>
      <x:c r="C171" s="5" t="str">
        <x:v>Sesame seeds, whole, toasted</x:v>
      </x:c>
      <x:c r="D171" s="5" t="str">
        <x:v>USDA SR28 (2015)</x:v>
      </x:c>
      <x:c r="E171" s="5" t="str">
        <x:v>NDB 12024</x:v>
      </x:c>
      <x:c r="F171" s="5" t="str">
        <x:v>Seeds, sesame seeds, whole, roasted and toasted</x:v>
      </x:c>
      <x:c r="G171" s="24" t="n">
        <x:v>16.96</x:v>
      </x:c>
      <x:c r="H171" s="24" t="n">
        <x:v>25.74</x:v>
      </x:c>
      <x:c r="I171" s="24" t="n">
        <x:v>48</x:v>
      </x:c>
      <x:c r="J171" s="24" t="n">
        <x:v>14</x:v>
      </x:c>
      <x:c r="K171" s="24" t="n">
        <x:v>565</x:v>
      </x:c>
      <x:c r="L171" s="5" t="str">
        <x:v>kcal</x:v>
      </x:c>
      <x:c r="M171" s="5" t="str">
        <x:v>https://fdc.nal.usda.gov/</x:v>
      </x:c>
      <x:c r="N171" s="5" t="str">
        <x:v>SR28 NDB 12024; nutrients 203,205,204,208</x:v>
      </x:c>
      <x:c r="O171" s="5" t="str">
        <x:v>USDA total carbohydrate. Generic composition; Indian brands and recipes can differ.</x:v>
      </x:c>
      <x:c r="P171" s="5" t="str">
        <x:v>USDA recorded household weights, edible grams; sizes and recipes vary.</x:v>
      </x:c>
    </x:row>
    <x:row r="172" ht="64" customHeight="1">
      <x:c r="A172" s="7" t="str">
        <x:v>Fat Sources</x:v>
      </x:c>
      <x:c r="B172" s="7" t="n">
        <x:v>57</x:v>
      </x:c>
      <x:c r="C172" s="7" t="str">
        <x:v>Cheddar cheese</x:v>
      </x:c>
      <x:c r="D172" s="7" t="str">
        <x:v>USDA SR28 (2015)</x:v>
      </x:c>
      <x:c r="E172" s="7" t="str">
        <x:v>NDB 01009</x:v>
      </x:c>
      <x:c r="F172" s="7" t="str">
        <x:v>Cheese, cheddar</x:v>
      </x:c>
      <x:c r="G172" s="26" t="n">
        <x:v>22.87</x:v>
      </x:c>
      <x:c r="H172" s="26" t="n">
        <x:v>3.09</x:v>
      </x:c>
      <x:c r="I172" s="26" t="n">
        <x:v>33.31</x:v>
      </x:c>
      <x:c r="J172" s="26" t="n">
        <x:v>0</x:v>
      </x:c>
      <x:c r="K172" s="26" t="n">
        <x:v>404</x:v>
      </x:c>
      <x:c r="L172" s="7" t="str">
        <x:v>kcal</x:v>
      </x:c>
      <x:c r="M172" s="7" t="str">
        <x:v>https://fdc.nal.usda.gov/</x:v>
      </x:c>
      <x:c r="N172" s="7" t="str">
        <x:v>SR28 NDB 01009; nutrients 203,205,204,208</x:v>
      </x:c>
      <x:c r="O172" s="7" t="str">
        <x:v>USDA total carbohydrate. Generic composition; Indian brands and recipes can differ.</x:v>
      </x:c>
      <x:c r="P172" s="7" t="str">
        <x:v>USDA recorded household weights, edible grams; sizes and recipes vary.</x:v>
      </x:c>
    </x:row>
    <x:row r="173" ht="64" customHeight="1">
      <x:c r="A173" s="5" t="str">
        <x:v>Fat Sources</x:v>
      </x:c>
      <x:c r="B173" s="5" t="n">
        <x:v>58</x:v>
      </x:c>
      <x:c r="C173" s="5" t="str">
        <x:v>Cream cheese</x:v>
      </x:c>
      <x:c r="D173" s="5" t="str">
        <x:v>USDA SR28 (2015)</x:v>
      </x:c>
      <x:c r="E173" s="5" t="str">
        <x:v>NDB 01017</x:v>
      </x:c>
      <x:c r="F173" s="5" t="str">
        <x:v>Cheese, cream</x:v>
      </x:c>
      <x:c r="G173" s="24" t="n">
        <x:v>6.15</x:v>
      </x:c>
      <x:c r="H173" s="24" t="n">
        <x:v>5.52</x:v>
      </x:c>
      <x:c r="I173" s="24" t="n">
        <x:v>34.44</x:v>
      </x:c>
      <x:c r="J173" s="24" t="n">
        <x:v>0</x:v>
      </x:c>
      <x:c r="K173" s="24" t="n">
        <x:v>350</x:v>
      </x:c>
      <x:c r="L173" s="5" t="str">
        <x:v>kcal</x:v>
      </x:c>
      <x:c r="M173" s="5" t="str">
        <x:v>https://fdc.nal.usda.gov/</x:v>
      </x:c>
      <x:c r="N173" s="5" t="str">
        <x:v>SR28 NDB 01017; nutrients 203,205,204,208</x:v>
      </x:c>
      <x:c r="O173" s="5" t="str">
        <x:v>USDA total carbohydrate. Generic composition; Indian brands and recipes can differ.</x:v>
      </x:c>
      <x:c r="P173" s="5" t="str">
        <x:v>USDA recorded household weights, edible grams; sizes and recipes vary.</x:v>
      </x:c>
    </x:row>
    <x:row r="174" ht="64" customHeight="1">
      <x:c r="A174" s="7" t="str">
        <x:v>Fat Sources</x:v>
      </x:c>
      <x:c r="B174" s="7" t="n">
        <x:v>59</x:v>
      </x:c>
      <x:c r="C174" s="7" t="str">
        <x:v>Mozzarella cheese, whole milk</x:v>
      </x:c>
      <x:c r="D174" s="7" t="str">
        <x:v>USDA SR28 (2015)</x:v>
      </x:c>
      <x:c r="E174" s="7" t="str">
        <x:v>NDB 01026</x:v>
      </x:c>
      <x:c r="F174" s="7" t="str">
        <x:v>Cheese, mozzarella, whole milk</x:v>
      </x:c>
      <x:c r="G174" s="26" t="n">
        <x:v>22.17</x:v>
      </x:c>
      <x:c r="H174" s="26" t="n">
        <x:v>2.19</x:v>
      </x:c>
      <x:c r="I174" s="26" t="n">
        <x:v>22.35</x:v>
      </x:c>
      <x:c r="J174" s="26" t="n">
        <x:v>0</x:v>
      </x:c>
      <x:c r="K174" s="26" t="n">
        <x:v>300</x:v>
      </x:c>
      <x:c r="L174" s="7" t="str">
        <x:v>kcal</x:v>
      </x:c>
      <x:c r="M174" s="7" t="str">
        <x:v>https://fdc.nal.usda.gov/</x:v>
      </x:c>
      <x:c r="N174" s="7" t="str">
        <x:v>SR28 NDB 01026; nutrients 203,205,204,208</x:v>
      </x:c>
      <x:c r="O174" s="7" t="str">
        <x:v>USDA total carbohydrate. Generic composition; Indian brands and recipes can differ.</x:v>
      </x:c>
      <x:c r="P174" s="7" t="str">
        <x:v>USDA recorded household weights, edible grams; sizes and recipes vary.</x:v>
      </x:c>
    </x:row>
    <x:row r="175" ht="64" customHeight="1">
      <x:c r="A175" s="5" t="str">
        <x:v>Fat Sources</x:v>
      </x:c>
      <x:c r="B175" s="5" t="n">
        <x:v>60</x:v>
      </x:c>
      <x:c r="C175" s="5" t="str">
        <x:v>Mozzarella cheese, part skim</x:v>
      </x:c>
      <x:c r="D175" s="5" t="str">
        <x:v>USDA SR28 (2015)</x:v>
      </x:c>
      <x:c r="E175" s="5" t="str">
        <x:v>NDB 01028</x:v>
      </x:c>
      <x:c r="F175" s="5" t="str">
        <x:v>Cheese, mozzarella, part skim milk</x:v>
      </x:c>
      <x:c r="G175" s="24" t="n">
        <x:v>24.26</x:v>
      </x:c>
      <x:c r="H175" s="24" t="n">
        <x:v>2.77</x:v>
      </x:c>
      <x:c r="I175" s="24" t="n">
        <x:v>15.92</x:v>
      </x:c>
      <x:c r="J175" s="24" t="n">
        <x:v>0</x:v>
      </x:c>
      <x:c r="K175" s="24" t="n">
        <x:v>254</x:v>
      </x:c>
      <x:c r="L175" s="5" t="str">
        <x:v>kcal</x:v>
      </x:c>
      <x:c r="M175" s="5" t="str">
        <x:v>https://fdc.nal.usda.gov/</x:v>
      </x:c>
      <x:c r="N175" s="5" t="str">
        <x:v>SR28 NDB 01028; nutrients 203,205,204,208</x:v>
      </x:c>
      <x:c r="O175" s="5" t="str">
        <x:v>USDA total carbohydrate. Generic composition; Indian brands and recipes can differ.</x:v>
      </x:c>
      <x:c r="P175" s="5" t="str">
        <x:v>USDA recorded household weights, edible grams; sizes and recipes vary.</x:v>
      </x:c>
    </x:row>
    <x:row r="176" ht="64" customHeight="1">
      <x:c r="A176" s="7" t="str">
        <x:v>Fat Sources</x:v>
      </x:c>
      <x:c r="B176" s="7" t="n">
        <x:v>61</x:v>
      </x:c>
      <x:c r="C176" s="7" t="str">
        <x:v>Parmesan cheese, hard</x:v>
      </x:c>
      <x:c r="D176" s="7" t="str">
        <x:v>USDA SR28 (2015)</x:v>
      </x:c>
      <x:c r="E176" s="7" t="str">
        <x:v>NDB 01033</x:v>
      </x:c>
      <x:c r="F176" s="7" t="str">
        <x:v>Cheese, parmesan, hard</x:v>
      </x:c>
      <x:c r="G176" s="26" t="n">
        <x:v>35.75</x:v>
      </x:c>
      <x:c r="H176" s="26" t="n">
        <x:v>3.22</x:v>
      </x:c>
      <x:c r="I176" s="26" t="n">
        <x:v>25.83</x:v>
      </x:c>
      <x:c r="J176" s="26" t="n">
        <x:v>0</x:v>
      </x:c>
      <x:c r="K176" s="26" t="n">
        <x:v>392</x:v>
      </x:c>
      <x:c r="L176" s="7" t="str">
        <x:v>kcal</x:v>
      </x:c>
      <x:c r="M176" s="7" t="str">
        <x:v>https://fdc.nal.usda.gov/</x:v>
      </x:c>
      <x:c r="N176" s="7" t="str">
        <x:v>SR28 NDB 01033; nutrients 203,205,204,208</x:v>
      </x:c>
      <x:c r="O176" s="7" t="str">
        <x:v>USDA total carbohydrate. Generic composition; Indian brands and recipes can differ.</x:v>
      </x:c>
      <x:c r="P176" s="7" t="str">
        <x:v>USDA recorded household weights, edible grams; sizes and recipes vary.</x:v>
      </x:c>
    </x:row>
    <x:row r="177" ht="64" customHeight="1">
      <x:c r="A177" s="5" t="str">
        <x:v>Fat Sources</x:v>
      </x:c>
      <x:c r="B177" s="5" t="n">
        <x:v>62</x:v>
      </x:c>
      <x:c r="C177" s="5" t="str">
        <x:v>Gouda cheese</x:v>
      </x:c>
      <x:c r="D177" s="5" t="str">
        <x:v>USDA SR28 (2015)</x:v>
      </x:c>
      <x:c r="E177" s="5" t="str">
        <x:v>NDB 01022</x:v>
      </x:c>
      <x:c r="F177" s="5" t="str">
        <x:v>Cheese, gouda</x:v>
      </x:c>
      <x:c r="G177" s="24" t="n">
        <x:v>24.94</x:v>
      </x:c>
      <x:c r="H177" s="24" t="n">
        <x:v>2.22</x:v>
      </x:c>
      <x:c r="I177" s="24" t="n">
        <x:v>27.44</x:v>
      </x:c>
      <x:c r="J177" s="24" t="n">
        <x:v>0</x:v>
      </x:c>
      <x:c r="K177" s="24" t="n">
        <x:v>356</x:v>
      </x:c>
      <x:c r="L177" s="5" t="str">
        <x:v>kcal</x:v>
      </x:c>
      <x:c r="M177" s="5" t="str">
        <x:v>https://fdc.nal.usda.gov/</x:v>
      </x:c>
      <x:c r="N177" s="5" t="str">
        <x:v>SR28 NDB 01022; nutrients 203,205,204,208</x:v>
      </x:c>
      <x:c r="O177" s="5" t="str">
        <x:v>USDA total carbohydrate. Generic composition; Indian brands and recipes can differ.</x:v>
      </x:c>
      <x:c r="P177" s="5" t="str">
        <x:v>USDA recorded household weights, edible grams; sizes and recipes vary.</x:v>
      </x:c>
    </x:row>
    <x:row r="178" ht="64" customHeight="1">
      <x:c r="A178" s="7" t="str">
        <x:v>Fat Sources</x:v>
      </x:c>
      <x:c r="B178" s="7" t="n">
        <x:v>63</x:v>
      </x:c>
      <x:c r="C178" s="7" t="str">
        <x:v>Feta cheese</x:v>
      </x:c>
      <x:c r="D178" s="7" t="str">
        <x:v>USDA SR28 (2015)</x:v>
      </x:c>
      <x:c r="E178" s="7" t="str">
        <x:v>NDB 01019</x:v>
      </x:c>
      <x:c r="F178" s="7" t="str">
        <x:v>Cheese, feta</x:v>
      </x:c>
      <x:c r="G178" s="26" t="n">
        <x:v>14.21</x:v>
      </x:c>
      <x:c r="H178" s="26" t="n">
        <x:v>4.09</x:v>
      </x:c>
      <x:c r="I178" s="26" t="n">
        <x:v>21.28</x:v>
      </x:c>
      <x:c r="J178" s="26" t="n">
        <x:v>0</x:v>
      </x:c>
      <x:c r="K178" s="26" t="n">
        <x:v>264</x:v>
      </x:c>
      <x:c r="L178" s="7" t="str">
        <x:v>kcal</x:v>
      </x:c>
      <x:c r="M178" s="7" t="str">
        <x:v>https://fdc.nal.usda.gov/</x:v>
      </x:c>
      <x:c r="N178" s="7" t="str">
        <x:v>SR28 NDB 01019; nutrients 203,205,204,208</x:v>
      </x:c>
      <x:c r="O178" s="7" t="str">
        <x:v>USDA total carbohydrate. Generic composition; Indian brands and recipes can differ.</x:v>
      </x:c>
      <x:c r="P178" s="7" t="str">
        <x:v>USDA recorded household weights, edible grams; sizes and recipes vary.</x:v>
      </x:c>
    </x:row>
    <x:row r="179" ht="64" customHeight="1">
      <x:c r="A179" s="5" t="str">
        <x:v>Fat Sources</x:v>
      </x:c>
      <x:c r="B179" s="5" t="n">
        <x:v>64</x:v>
      </x:c>
      <x:c r="C179" s="5" t="str">
        <x:v>Processed cheese spread, American-style</x:v>
      </x:c>
      <x:c r="D179" s="5" t="str">
        <x:v>USDA SR28 (2015)</x:v>
      </x:c>
      <x:c r="E179" s="5" t="str">
        <x:v>NDB 01048</x:v>
      </x:c>
      <x:c r="F179" s="5" t="str">
        <x:v>Cheese spread, pasteurized process, American</x:v>
      </x:c>
      <x:c r="G179" s="24" t="n">
        <x:v>16.41</x:v>
      </x:c>
      <x:c r="H179" s="24" t="n">
        <x:v>8.73</x:v>
      </x:c>
      <x:c r="I179" s="24" t="n">
        <x:v>21.23</x:v>
      </x:c>
      <x:c r="J179" s="24" t="n">
        <x:v>0</x:v>
      </x:c>
      <x:c r="K179" s="24" t="n">
        <x:v>290</x:v>
      </x:c>
      <x:c r="L179" s="5" t="str">
        <x:v>kcal</x:v>
      </x:c>
      <x:c r="M179" s="5" t="str">
        <x:v>https://fdc.nal.usda.gov/</x:v>
      </x:c>
      <x:c r="N179" s="5" t="str">
        <x:v>SR28 NDB 01048; nutrients 203,205,204,208</x:v>
      </x:c>
      <x:c r="O179" s="5" t="str">
        <x:v>USDA total carbohydrate. Generic composition; Indian brands and recipes can differ.</x:v>
      </x:c>
      <x:c r="P179" s="5" t="str">
        <x:v>USDA recorded household weights, edible grams; sizes and recipes vary.</x:v>
      </x:c>
    </x:row>
    <x:row r="180" ht="64" customHeight="1">
      <x:c r="A180" s="7" t="str">
        <x:v>Fat Sources</x:v>
      </x:c>
      <x:c r="B180" s="7" t="n">
        <x:v>65</x:v>
      </x:c>
      <x:c r="C180" s="7" t="str">
        <x:v>Table cream, light</x:v>
      </x:c>
      <x:c r="D180" s="7" t="str">
        <x:v>USDA SR28 (2015)</x:v>
      </x:c>
      <x:c r="E180" s="7" t="str">
        <x:v>NDB 01050</x:v>
      </x:c>
      <x:c r="F180" s="7" t="str">
        <x:v>Cream, fluid, light (coffee cream or table cream)</x:v>
      </x:c>
      <x:c r="G180" s="26" t="n">
        <x:v>2.96</x:v>
      </x:c>
      <x:c r="H180" s="26" t="n">
        <x:v>2.82</x:v>
      </x:c>
      <x:c r="I180" s="26" t="n">
        <x:v>19.1</x:v>
      </x:c>
      <x:c r="J180" s="26" t="n">
        <x:v>0</x:v>
      </x:c>
      <x:c r="K180" s="26" t="n">
        <x:v>191</x:v>
      </x:c>
      <x:c r="L180" s="7" t="str">
        <x:v>kcal</x:v>
      </x:c>
      <x:c r="M180" s="7" t="str">
        <x:v>https://fdc.nal.usda.gov/</x:v>
      </x:c>
      <x:c r="N180" s="7" t="str">
        <x:v>SR28 NDB 01050; nutrients 203,205,204,208</x:v>
      </x:c>
      <x:c r="O180" s="7" t="str">
        <x:v>USDA total carbohydrate. Generic composition; Indian brands and recipes can differ.</x:v>
      </x:c>
      <x:c r="P180" s="7" t="str">
        <x:v>USDA recorded household weights, edible grams; sizes and recipes vary.</x:v>
      </x:c>
    </x:row>
    <x:row r="181" ht="64" customHeight="1">
      <x:c r="A181" s="5" t="str">
        <x:v>Fat Sources</x:v>
      </x:c>
      <x:c r="B181" s="5" t="n">
        <x:v>66</x:v>
      </x:c>
      <x:c r="C181" s="5" t="str">
        <x:v>Heavy whipping cream, fluid</x:v>
      </x:c>
      <x:c r="D181" s="5" t="str">
        <x:v>USDA SR28 (2015)</x:v>
      </x:c>
      <x:c r="E181" s="5" t="str">
        <x:v>NDB 01053</x:v>
      </x:c>
      <x:c r="F181" s="5" t="str">
        <x:v>Cream, fluid, heavy whipping</x:v>
      </x:c>
      <x:c r="G181" s="24" t="n">
        <x:v>2.84</x:v>
      </x:c>
      <x:c r="H181" s="24" t="n">
        <x:v>2.74</x:v>
      </x:c>
      <x:c r="I181" s="24" t="n">
        <x:v>36.08</x:v>
      </x:c>
      <x:c r="J181" s="24" t="n">
        <x:v>0</x:v>
      </x:c>
      <x:c r="K181" s="24" t="n">
        <x:v>340</x:v>
      </x:c>
      <x:c r="L181" s="5" t="str">
        <x:v>kcal</x:v>
      </x:c>
      <x:c r="M181" s="5" t="str">
        <x:v>https://fdc.nal.usda.gov/</x:v>
      </x:c>
      <x:c r="N181" s="5" t="str">
        <x:v>SR28 NDB 01053; nutrients 203,205,204,208</x:v>
      </x:c>
      <x:c r="O181" s="5" t="str">
        <x:v>USDA total carbohydrate. Generic composition; Indian brands and recipes can differ.</x:v>
      </x:c>
      <x:c r="P181" s="5" t="str">
        <x:v>USDA recorded household weights, edible grams; sizes and recipes vary.</x:v>
      </x:c>
    </x:row>
    <x:row r="182" ht="64" customHeight="1">
      <x:c r="A182" s="7" t="str">
        <x:v>Fat Sources</x:v>
      </x:c>
      <x:c r="B182" s="7" t="n">
        <x:v>67</x:v>
      </x:c>
      <x:c r="C182" s="7" t="str">
        <x:v>Whole milk powder</x:v>
      </x:c>
      <x:c r="D182" s="7" t="str">
        <x:v>USDA SR28 (2015)</x:v>
      </x:c>
      <x:c r="E182" s="7" t="str">
        <x:v>NDB 01090</x:v>
      </x:c>
      <x:c r="F182" s="7" t="str">
        <x:v>Milk, dry, whole, with added vitamin D</x:v>
      </x:c>
      <x:c r="G182" s="26" t="n">
        <x:v>26.32</x:v>
      </x:c>
      <x:c r="H182" s="26" t="n">
        <x:v>38.42</x:v>
      </x:c>
      <x:c r="I182" s="26" t="n">
        <x:v>26.71</x:v>
      </x:c>
      <x:c r="J182" s="26" t="n">
        <x:v>0</x:v>
      </x:c>
      <x:c r="K182" s="26" t="n">
        <x:v>496</x:v>
      </x:c>
      <x:c r="L182" s="7" t="str">
        <x:v>kcal</x:v>
      </x:c>
      <x:c r="M182" s="7" t="str">
        <x:v>https://fdc.nal.usda.gov/</x:v>
      </x:c>
      <x:c r="N182" s="7" t="str">
        <x:v>SR28 NDB 01090; nutrients 203,205,204,208</x:v>
      </x:c>
      <x:c r="O182" s="7" t="str">
        <x:v>USDA total carbohydrate. Generic composition; Indian brands and recipes can differ.</x:v>
      </x:c>
      <x:c r="P182" s="7" t="str">
        <x:v>USDA recorded household weights, edible grams; sizes and recipes vary.</x:v>
      </x:c>
    </x:row>
    <x:row r="183" ht="64" customHeight="1">
      <x:c r="A183" s="5" t="str">
        <x:v>Fat Sources</x:v>
      </x:c>
      <x:c r="B183" s="5" t="n">
        <x:v>68</x:v>
      </x:c>
      <x:c r="C183" s="5" t="str">
        <x:v>Condensed milk, sweetened</x:v>
      </x:c>
      <x:c r="D183" s="5" t="str">
        <x:v>USDA SR28 (2015)</x:v>
      </x:c>
      <x:c r="E183" s="5" t="str">
        <x:v>NDB 01095</x:v>
      </x:c>
      <x:c r="F183" s="5" t="str">
        <x:v>Milk, canned, condensed, sweetened</x:v>
      </x:c>
      <x:c r="G183" s="24" t="n">
        <x:v>7.91</x:v>
      </x:c>
      <x:c r="H183" s="24" t="n">
        <x:v>54.4</x:v>
      </x:c>
      <x:c r="I183" s="24" t="n">
        <x:v>8.7</x:v>
      </x:c>
      <x:c r="J183" s="24" t="n">
        <x:v>0</x:v>
      </x:c>
      <x:c r="K183" s="24" t="n">
        <x:v>321</x:v>
      </x:c>
      <x:c r="L183" s="5" t="str">
        <x:v>kcal</x:v>
      </x:c>
      <x:c r="M183" s="5" t="str">
        <x:v>https://fdc.nal.usda.gov/</x:v>
      </x:c>
      <x:c r="N183" s="5" t="str">
        <x:v>SR28 NDB 01095; nutrients 203,205,204,208</x:v>
      </x:c>
      <x:c r="O183" s="5" t="str">
        <x:v>USDA total carbohydrate. Generic composition; Indian brands and recipes can differ.</x:v>
      </x:c>
      <x:c r="P183" s="5" t="str">
        <x:v>USDA recorded household weights, edible grams; sizes and recipes vary.</x:v>
      </x:c>
    </x:row>
    <x:row r="184" ht="64" customHeight="1">
      <x:c r="A184" s="7" t="str">
        <x:v>Fat Sources</x:v>
      </x:c>
      <x:c r="B184" s="7" t="n">
        <x:v>69</x:v>
      </x:c>
      <x:c r="C184" s="7" t="str">
        <x:v>Curd / plain whole-milk yogurt</x:v>
      </x:c>
      <x:c r="D184" s="7" t="str">
        <x:v>USDA SR28 (2015)</x:v>
      </x:c>
      <x:c r="E184" s="7" t="str">
        <x:v>NDB 01116</x:v>
      </x:c>
      <x:c r="F184" s="7" t="str">
        <x:v>Yogurt, plain, whole milk, 8 grams protein per 8 ounce</x:v>
      </x:c>
      <x:c r="G184" s="26" t="n">
        <x:v>3.47</x:v>
      </x:c>
      <x:c r="H184" s="26" t="n">
        <x:v>4.66</x:v>
      </x:c>
      <x:c r="I184" s="26" t="n">
        <x:v>3.25</x:v>
      </x:c>
      <x:c r="J184" s="26" t="n">
        <x:v>0</x:v>
      </x:c>
      <x:c r="K184" s="26" t="n">
        <x:v>61</x:v>
      </x:c>
      <x:c r="L184" s="7" t="str">
        <x:v>kcal</x:v>
      </x:c>
      <x:c r="M184" s="7" t="str">
        <x:v>https://fdc.nal.usda.gov/</x:v>
      </x:c>
      <x:c r="N184" s="7" t="str">
        <x:v>SR28 NDB 01116; nutrients 203,205,204,208</x:v>
      </x:c>
      <x:c r="O184" s="7" t="str">
        <x:v>USDA total carbohydrate. Generic composition; Indian brands and recipes can differ.</x:v>
      </x:c>
      <x:c r="P184" s="7" t="str">
        <x:v>USDA recorded household weights, edible grams; sizes and recipes vary.</x:v>
      </x:c>
    </x:row>
    <x:row r="185" ht="64" customHeight="1">
      <x:c r="A185" s="5" t="str">
        <x:v>Fat Sources</x:v>
      </x:c>
      <x:c r="B185" s="5" t="n">
        <x:v>70</x:v>
      </x:c>
      <x:c r="C185" s="5" t="str">
        <x:v>Chicken egg, whole, raw</x:v>
      </x:c>
      <x:c r="D185" s="5" t="str">
        <x:v>USDA SR28 (2015)</x:v>
      </x:c>
      <x:c r="E185" s="5" t="str">
        <x:v>NDB 01123</x:v>
      </x:c>
      <x:c r="F185" s="5" t="str">
        <x:v>Egg, whole, raw, fresh</x:v>
      </x:c>
      <x:c r="G185" s="24" t="n">
        <x:v>12.56</x:v>
      </x:c>
      <x:c r="H185" s="24" t="n">
        <x:v>0.72</x:v>
      </x:c>
      <x:c r="I185" s="24" t="n">
        <x:v>9.51</x:v>
      </x:c>
      <x:c r="J185" s="24" t="n">
        <x:v>0</x:v>
      </x:c>
      <x:c r="K185" s="24" t="n">
        <x:v>143</x:v>
      </x:c>
      <x:c r="L185" s="5" t="str">
        <x:v>kcal</x:v>
      </x:c>
      <x:c r="M185" s="5" t="str">
        <x:v>https://fdc.nal.usda.gov/</x:v>
      </x:c>
      <x:c r="N185" s="5" t="str">
        <x:v>SR28 NDB 01123; nutrients 203,205,204,208</x:v>
      </x:c>
      <x:c r="O185" s="5" t="str">
        <x:v>USDA total carbohydrate. Generic composition; Indian brands and recipes can differ.</x:v>
      </x:c>
      <x:c r="P185" s="5" t="str">
        <x:v>USDA recorded household weights, edible grams; sizes and recipes vary.</x:v>
      </x:c>
    </x:row>
    <x:row r="186" ht="64" customHeight="1">
      <x:c r="A186" s="7" t="str">
        <x:v>Fat Sources</x:v>
      </x:c>
      <x:c r="B186" s="7" t="n">
        <x:v>71</x:v>
      </x:c>
      <x:c r="C186" s="7" t="str">
        <x:v>Chicken egg, whole, hard-boiled</x:v>
      </x:c>
      <x:c r="D186" s="7" t="str">
        <x:v>USDA SR28 (2015)</x:v>
      </x:c>
      <x:c r="E186" s="7" t="str">
        <x:v>NDB 01129</x:v>
      </x:c>
      <x:c r="F186" s="7" t="str">
        <x:v>Egg, whole, cooked, hard-boiled</x:v>
      </x:c>
      <x:c r="G186" s="26" t="n">
        <x:v>12.58</x:v>
      </x:c>
      <x:c r="H186" s="26" t="n">
        <x:v>1.12</x:v>
      </x:c>
      <x:c r="I186" s="26" t="n">
        <x:v>10.61</x:v>
      </x:c>
      <x:c r="J186" s="26" t="n">
        <x:v>0</x:v>
      </x:c>
      <x:c r="K186" s="26" t="n">
        <x:v>155</x:v>
      </x:c>
      <x:c r="L186" s="7" t="str">
        <x:v>kcal</x:v>
      </x:c>
      <x:c r="M186" s="7" t="str">
        <x:v>https://fdc.nal.usda.gov/</x:v>
      </x:c>
      <x:c r="N186" s="7" t="str">
        <x:v>SR28 NDB 01129; nutrients 203,205,204,208</x:v>
      </x:c>
      <x:c r="O186" s="7" t="str">
        <x:v>USDA total carbohydrate. Generic composition; Indian brands and recipes can differ.</x:v>
      </x:c>
      <x:c r="P186" s="7" t="str">
        <x:v>USDA recorded household weights, edible grams; sizes and recipes vary.</x:v>
      </x:c>
    </x:row>
    <x:row r="187" ht="64" customHeight="1">
      <x:c r="A187" s="5" t="str">
        <x:v>Fat Sources</x:v>
      </x:c>
      <x:c r="B187" s="5" t="n">
        <x:v>72</x:v>
      </x:c>
      <x:c r="C187" s="5" t="str">
        <x:v>Chicken egg yolk, raw</x:v>
      </x:c>
      <x:c r="D187" s="5" t="str">
        <x:v>USDA SR28 (2015)</x:v>
      </x:c>
      <x:c r="E187" s="5" t="str">
        <x:v>NDB 01125</x:v>
      </x:c>
      <x:c r="F187" s="5" t="str">
        <x:v>Egg, yolk, raw, fresh</x:v>
      </x:c>
      <x:c r="G187" s="24" t="n">
        <x:v>15.86</x:v>
      </x:c>
      <x:c r="H187" s="24" t="n">
        <x:v>3.59</x:v>
      </x:c>
      <x:c r="I187" s="24" t="n">
        <x:v>26.54</x:v>
      </x:c>
      <x:c r="J187" s="24" t="n">
        <x:v>0</x:v>
      </x:c>
      <x:c r="K187" s="24" t="n">
        <x:v>322</x:v>
      </x:c>
      <x:c r="L187" s="5" t="str">
        <x:v>kcal</x:v>
      </x:c>
      <x:c r="M187" s="5" t="str">
        <x:v>https://fdc.nal.usda.gov/</x:v>
      </x:c>
      <x:c r="N187" s="5" t="str">
        <x:v>SR28 NDB 01125; nutrients 203,205,204,208</x:v>
      </x:c>
      <x:c r="O187" s="5" t="str">
        <x:v>USDA total carbohydrate. Generic composition; Indian brands and recipes can differ.</x:v>
      </x:c>
      <x:c r="P187" s="5" t="str">
        <x:v>USDA recorded household weights, edible grams; sizes and recipes vary.</x:v>
      </x:c>
    </x:row>
    <x:row r="188" ht="64" customHeight="1">
      <x:c r="A188" s="7" t="str">
        <x:v>Fat Sources</x:v>
      </x:c>
      <x:c r="B188" s="7" t="n">
        <x:v>73</x:v>
      </x:c>
      <x:c r="C188" s="7" t="str">
        <x:v>Duck egg, whole, raw</x:v>
      </x:c>
      <x:c r="D188" s="7" t="str">
        <x:v>USDA SR28 (2015)</x:v>
      </x:c>
      <x:c r="E188" s="7" t="str">
        <x:v>NDB 01138</x:v>
      </x:c>
      <x:c r="F188" s="7" t="str">
        <x:v>Egg, duck, whole, fresh, raw</x:v>
      </x:c>
      <x:c r="G188" s="26" t="n">
        <x:v>12.81</x:v>
      </x:c>
      <x:c r="H188" s="26" t="n">
        <x:v>1.45</x:v>
      </x:c>
      <x:c r="I188" s="26" t="n">
        <x:v>13.77</x:v>
      </x:c>
      <x:c r="J188" s="26" t="n">
        <x:v>0</x:v>
      </x:c>
      <x:c r="K188" s="26" t="n">
        <x:v>185</x:v>
      </x:c>
      <x:c r="L188" s="7" t="str">
        <x:v>kcal</x:v>
      </x:c>
      <x:c r="M188" s="7" t="str">
        <x:v>https://fdc.nal.usda.gov/</x:v>
      </x:c>
      <x:c r="N188" s="7" t="str">
        <x:v>SR28 NDB 01138; nutrients 203,205,204,208</x:v>
      </x:c>
      <x:c r="O188" s="7" t="str">
        <x:v>USDA total carbohydrate. Generic composition; Indian brands and recipes can differ.</x:v>
      </x:c>
      <x:c r="P188" s="7" t="str">
        <x:v>USDA recorded household weights, edible grams; sizes and recipes vary.</x:v>
      </x:c>
    </x:row>
    <x:row r="189" ht="64" customHeight="1">
      <x:c r="A189" s="5" t="str">
        <x:v>Fat Sources</x:v>
      </x:c>
      <x:c r="B189" s="5" t="n">
        <x:v>74</x:v>
      </x:c>
      <x:c r="C189" s="5" t="str">
        <x:v>Quail egg, whole, raw</x:v>
      </x:c>
      <x:c r="D189" s="5" t="str">
        <x:v>USDA SR28 (2015)</x:v>
      </x:c>
      <x:c r="E189" s="5" t="str">
        <x:v>NDB 01140</x:v>
      </x:c>
      <x:c r="F189" s="5" t="str">
        <x:v>Egg, quail, whole, fresh, raw</x:v>
      </x:c>
      <x:c r="G189" s="24" t="n">
        <x:v>13.05</x:v>
      </x:c>
      <x:c r="H189" s="24" t="n">
        <x:v>0.41</x:v>
      </x:c>
      <x:c r="I189" s="24" t="n">
        <x:v>11.09</x:v>
      </x:c>
      <x:c r="J189" s="24" t="n">
        <x:v>0</x:v>
      </x:c>
      <x:c r="K189" s="24" t="n">
        <x:v>158</x:v>
      </x:c>
      <x:c r="L189" s="5" t="str">
        <x:v>kcal</x:v>
      </x:c>
      <x:c r="M189" s="5" t="str">
        <x:v>https://fdc.nal.usda.gov/</x:v>
      </x:c>
      <x:c r="N189" s="5" t="str">
        <x:v>SR28 NDB 01140; nutrients 203,205,204,208</x:v>
      </x:c>
      <x:c r="O189" s="5" t="str">
        <x:v>USDA total carbohydrate. Generic composition; Indian brands and recipes can differ.</x:v>
      </x:c>
      <x:c r="P189" s="5" t="str">
        <x:v>USDA recorded household weights, edible grams; sizes and recipes vary.</x:v>
      </x:c>
    </x:row>
    <x:row r="190" ht="64" customHeight="1">
      <x:c r="A190" s="7" t="str">
        <x:v>Fat Sources</x:v>
      </x:c>
      <x:c r="B190" s="7" t="n">
        <x:v>75</x:v>
      </x:c>
      <x:c r="C190" s="7" t="str">
        <x:v>Chicken thigh, meat and skin, roasted</x:v>
      </x:c>
      <x:c r="D190" s="7" t="str">
        <x:v>USDA SR28 (2015)</x:v>
      </x:c>
      <x:c r="E190" s="7" t="str">
        <x:v>NDB 05094</x:v>
      </x:c>
      <x:c r="F190" s="7" t="str">
        <x:v>Chicken, broilers or fryers, thigh, meat and skin, cooked, roasted</x:v>
      </x:c>
      <x:c r="G190" s="26" t="n">
        <x:v>23.26</x:v>
      </x:c>
      <x:c r="H190" s="26" t="n">
        <x:v>0</x:v>
      </x:c>
      <x:c r="I190" s="26" t="n">
        <x:v>14.71</x:v>
      </x:c>
      <x:c r="J190" s="26" t="n">
        <x:v>0</x:v>
      </x:c>
      <x:c r="K190" s="26" t="n">
        <x:v>232</x:v>
      </x:c>
      <x:c r="L190" s="7" t="str">
        <x:v>kcal</x:v>
      </x:c>
      <x:c r="M190" s="7" t="str">
        <x:v>https://fdc.nal.usda.gov/</x:v>
      </x:c>
      <x:c r="N190" s="7" t="str">
        <x:v>SR28 NDB 05094; nutrients 203,205,204,208</x:v>
      </x:c>
      <x:c r="O190" s="7" t="str">
        <x:v>USDA total carbohydrate. Generic composition; Indian brands and recipes can differ.</x:v>
      </x:c>
      <x:c r="P190" s="7" t="str">
        <x:v>USDA recorded household weights, edible grams; sizes and recipes vary.</x:v>
      </x:c>
    </x:row>
    <x:row r="191" ht="64" customHeight="1">
      <x:c r="A191" s="5" t="str">
        <x:v>Fat Sources</x:v>
      </x:c>
      <x:c r="B191" s="5" t="n">
        <x:v>76</x:v>
      </x:c>
      <x:c r="C191" s="5" t="str">
        <x:v>Chicken wing, meat and skin, roasted</x:v>
      </x:c>
      <x:c r="D191" s="5" t="str">
        <x:v>USDA SR28 (2015)</x:v>
      </x:c>
      <x:c r="E191" s="5" t="str">
        <x:v>NDB 05103</x:v>
      </x:c>
      <x:c r="F191" s="5" t="str">
        <x:v>Chicken, broilers or fryers, wing, meat and skin, cooked, roasted</x:v>
      </x:c>
      <x:c r="G191" s="24" t="n">
        <x:v>23.79</x:v>
      </x:c>
      <x:c r="H191" s="24" t="n">
        <x:v>0</x:v>
      </x:c>
      <x:c r="I191" s="24" t="n">
        <x:v>16.87</x:v>
      </x:c>
      <x:c r="J191" s="24" t="n">
        <x:v>0</x:v>
      </x:c>
      <x:c r="K191" s="24" t="n">
        <x:v>254</x:v>
      </x:c>
      <x:c r="L191" s="5" t="str">
        <x:v>kcal</x:v>
      </x:c>
      <x:c r="M191" s="5" t="str">
        <x:v>https://fdc.nal.usda.gov/</x:v>
      </x:c>
      <x:c r="N191" s="5" t="str">
        <x:v>SR28 NDB 05103; nutrients 203,205,204,208</x:v>
      </x:c>
      <x:c r="O191" s="5" t="str">
        <x:v>USDA total carbohydrate. Generic composition; Indian brands and recipes can differ.</x:v>
      </x:c>
      <x:c r="P191" s="5" t="str">
        <x:v>USDA recorded household weights, edible grams; sizes and recipes vary.</x:v>
      </x:c>
    </x:row>
    <x:row r="192" ht="64" customHeight="1">
      <x:c r="A192" s="7" t="str">
        <x:v>Fat Sources</x:v>
      </x:c>
      <x:c r="B192" s="7" t="n">
        <x:v>77</x:v>
      </x:c>
      <x:c r="C192" s="7" t="str">
        <x:v>Duck, meat and skin, roasted</x:v>
      </x:c>
      <x:c r="D192" s="7" t="str">
        <x:v>USDA SR28 (2015)</x:v>
      </x:c>
      <x:c r="E192" s="7" t="str">
        <x:v>NDB 05140</x:v>
      </x:c>
      <x:c r="F192" s="7" t="str">
        <x:v>Duck, domesticated, meat and skin, cooked, roasted</x:v>
      </x:c>
      <x:c r="G192" s="26" t="n">
        <x:v>18.99</x:v>
      </x:c>
      <x:c r="H192" s="26" t="n">
        <x:v>0</x:v>
      </x:c>
      <x:c r="I192" s="26" t="n">
        <x:v>28.35</x:v>
      </x:c>
      <x:c r="J192" s="26" t="n">
        <x:v>0</x:v>
      </x:c>
      <x:c r="K192" s="26" t="n">
        <x:v>337</x:v>
      </x:c>
      <x:c r="L192" s="7" t="str">
        <x:v>kcal</x:v>
      </x:c>
      <x:c r="M192" s="7" t="str">
        <x:v>https://fdc.nal.usda.gov/</x:v>
      </x:c>
      <x:c r="N192" s="7" t="str">
        <x:v>SR28 NDB 05140; nutrients 203,205,204,208</x:v>
      </x:c>
      <x:c r="O192" s="7" t="str">
        <x:v>USDA total carbohydrate. Generic composition; Indian brands and recipes can differ.</x:v>
      </x:c>
      <x:c r="P192" s="7" t="str">
        <x:v>USDA recorded household weights, edible grams; sizes and recipes vary.</x:v>
      </x:c>
    </x:row>
    <x:row r="193" ht="64" customHeight="1">
      <x:c r="A193" s="5" t="str">
        <x:v>Fat Sources</x:v>
      </x:c>
      <x:c r="B193" s="5" t="n">
        <x:v>78</x:v>
      </x:c>
      <x:c r="C193" s="5" t="str">
        <x:v>Pork belly, raw</x:v>
      </x:c>
      <x:c r="D193" s="5" t="str">
        <x:v>USDA SR28 (2015)</x:v>
      </x:c>
      <x:c r="E193" s="5" t="str">
        <x:v>NDB 10005</x:v>
      </x:c>
      <x:c r="F193" s="5" t="str">
        <x:v>Pork, fresh, belly, raw</x:v>
      </x:c>
      <x:c r="G193" s="24" t="n">
        <x:v>9.34</x:v>
      </x:c>
      <x:c r="H193" s="24" t="n">
        <x:v>0</x:v>
      </x:c>
      <x:c r="I193" s="24" t="n">
        <x:v>53.01</x:v>
      </x:c>
      <x:c r="J193" s="24" t="n">
        <x:v>0</x:v>
      </x:c>
      <x:c r="K193" s="24" t="n">
        <x:v>518</x:v>
      </x:c>
      <x:c r="L193" s="5" t="str">
        <x:v>kcal</x:v>
      </x:c>
      <x:c r="M193" s="5" t="str">
        <x:v>https://fdc.nal.usda.gov/</x:v>
      </x:c>
      <x:c r="N193" s="5" t="str">
        <x:v>SR28 NDB 10005; nutrients 203,205,204,208</x:v>
      </x:c>
      <x:c r="O193" s="5" t="str">
        <x:v>USDA total carbohydrate. Generic composition; Indian brands and recipes can differ.</x:v>
      </x:c>
      <x:c r="P193" s="5" t="str">
        <x:v>USDA recorded household weights, edible grams; sizes and recipes vary.</x:v>
      </x:c>
    </x:row>
    <x:row r="194" ht="64" customHeight="1">
      <x:c r="A194" s="7" t="str">
        <x:v>Fat Sources</x:v>
      </x:c>
      <x:c r="B194" s="7" t="n">
        <x:v>79</x:v>
      </x:c>
      <x:c r="C194" s="7" t="str">
        <x:v>Pork loin, lean and fat, roasted</x:v>
      </x:c>
      <x:c r="D194" s="7" t="str">
        <x:v>USDA SR28 (2015)</x:v>
      </x:c>
      <x:c r="E194" s="7" t="str">
        <x:v>NDB 10023</x:v>
      </x:c>
      <x:c r="F194" s="7" t="str">
        <x:v>Pork, fresh, loin, whole, separable lean and fat, cooked, roasted</x:v>
      </x:c>
      <x:c r="G194" s="26" t="n">
        <x:v>27.09</x:v>
      </x:c>
      <x:c r="H194" s="26" t="n">
        <x:v>0</x:v>
      </x:c>
      <x:c r="I194" s="26" t="n">
        <x:v>14.65</x:v>
      </x:c>
      <x:c r="J194" s="26" t="n">
        <x:v>0</x:v>
      </x:c>
      <x:c r="K194" s="26" t="n">
        <x:v>248</x:v>
      </x:c>
      <x:c r="L194" s="7" t="str">
        <x:v>kcal</x:v>
      </x:c>
      <x:c r="M194" s="7" t="str">
        <x:v>https://fdc.nal.usda.gov/</x:v>
      </x:c>
      <x:c r="N194" s="7" t="str">
        <x:v>SR28 NDB 10023; nutrients 203,205,204,208</x:v>
      </x:c>
      <x:c r="O194" s="7" t="str">
        <x:v>USDA total carbohydrate. Generic composition; Indian brands and recipes can differ.</x:v>
      </x:c>
      <x:c r="P194" s="7" t="str">
        <x:v>USDA recorded household weights, edible grams; sizes and recipes vary.</x:v>
      </x:c>
    </x:row>
    <x:row r="195" ht="64" customHeight="1">
      <x:c r="A195" s="5" t="str">
        <x:v>Fat Sources</x:v>
      </x:c>
      <x:c r="B195" s="5" t="n">
        <x:v>80</x:v>
      </x:c>
      <x:c r="C195" s="5" t="str">
        <x:v>Lamb mince, broiled</x:v>
      </x:c>
      <x:c r="D195" s="5" t="str">
        <x:v>USDA SR28 (2015)</x:v>
      </x:c>
      <x:c r="E195" s="5" t="str">
        <x:v>NDB 17225</x:v>
      </x:c>
      <x:c r="F195" s="5" t="str">
        <x:v>Lamb, ground, cooked, broiled</x:v>
      </x:c>
      <x:c r="G195" s="24" t="n">
        <x:v>24.75</x:v>
      </x:c>
      <x:c r="H195" s="24" t="n">
        <x:v>0</x:v>
      </x:c>
      <x:c r="I195" s="24" t="n">
        <x:v>19.65</x:v>
      </x:c>
      <x:c r="J195" s="24" t="n">
        <x:v>0</x:v>
      </x:c>
      <x:c r="K195" s="24" t="n">
        <x:v>283</x:v>
      </x:c>
      <x:c r="L195" s="5" t="str">
        <x:v>kcal</x:v>
      </x:c>
      <x:c r="M195" s="5" t="str">
        <x:v>https://fdc.nal.usda.gov/</x:v>
      </x:c>
      <x:c r="N195" s="5" t="str">
        <x:v>SR28 NDB 17225; nutrients 203,205,204,208</x:v>
      </x:c>
      <x:c r="O195" s="5" t="str">
        <x:v>USDA total carbohydrate. Generic composition; Indian brands and recipes can differ.</x:v>
      </x:c>
      <x:c r="P195" s="5" t="str">
        <x:v>USDA recorded household weights, edible grams; sizes and recipes vary.</x:v>
      </x:c>
    </x:row>
    <x:row r="196" ht="64" customHeight="1">
      <x:c r="A196" s="7" t="str">
        <x:v>Fat Sources</x:v>
      </x:c>
      <x:c r="B196" s="7" t="n">
        <x:v>81</x:v>
      </x:c>
      <x:c r="C196" s="7" t="str">
        <x:v>Atlantic mackerel, dry-heat cooked (not Indian bangda)</x:v>
      </x:c>
      <x:c r="D196" s="7" t="str">
        <x:v>USDA SR28 (2015)</x:v>
      </x:c>
      <x:c r="E196" s="7" t="str">
        <x:v>NDB 15047</x:v>
      </x:c>
      <x:c r="F196" s="7" t="str">
        <x:v>Fish, mackerel, Atlantic, cooked, dry heat</x:v>
      </x:c>
      <x:c r="G196" s="26" t="n">
        <x:v>23.85</x:v>
      </x:c>
      <x:c r="H196" s="26" t="n">
        <x:v>0</x:v>
      </x:c>
      <x:c r="I196" s="26" t="n">
        <x:v>17.81</x:v>
      </x:c>
      <x:c r="J196" s="26" t="n">
        <x:v>0</x:v>
      </x:c>
      <x:c r="K196" s="26" t="n">
        <x:v>262</x:v>
      </x:c>
      <x:c r="L196" s="7" t="str">
        <x:v>kcal</x:v>
      </x:c>
      <x:c r="M196" s="7" t="str">
        <x:v>https://fdc.nal.usda.gov/</x:v>
      </x:c>
      <x:c r="N196" s="7" t="str">
        <x:v>SR28 NDB 15047; nutrients 203,205,204,208</x:v>
      </x:c>
      <x:c r="O196" s="7" t="str">
        <x:v>USDA total carbohydrate. Generic composition; Indian brands and recipes can differ.</x:v>
      </x:c>
      <x:c r="P196" s="7" t="str">
        <x:v>USDA recorded household weights, edible grams; sizes and recipes vary.</x:v>
      </x:c>
    </x:row>
    <x:row r="197" ht="64" customHeight="1">
      <x:c r="A197" s="5" t="str">
        <x:v>Fat Sources</x:v>
      </x:c>
      <x:c r="B197" s="5" t="n">
        <x:v>82</x:v>
      </x:c>
      <x:c r="C197" s="5" t="str">
        <x:v>Atlantic farmed salmon, dry-heat cooked (not rawas)</x:v>
      </x:c>
      <x:c r="D197" s="5" t="str">
        <x:v>USDA SR28 (2015)</x:v>
      </x:c>
      <x:c r="E197" s="5" t="str">
        <x:v>NDB 15237</x:v>
      </x:c>
      <x:c r="F197" s="5" t="str">
        <x:v>Fish, salmon, Atlantic, farmed, cooked, dry heat</x:v>
      </x:c>
      <x:c r="G197" s="24" t="n">
        <x:v>22.1</x:v>
      </x:c>
      <x:c r="H197" s="24" t="n">
        <x:v>0</x:v>
      </x:c>
      <x:c r="I197" s="24" t="n">
        <x:v>12.35</x:v>
      </x:c>
      <x:c r="J197" s="24" t="n">
        <x:v>0</x:v>
      </x:c>
      <x:c r="K197" s="24" t="n">
        <x:v>206</x:v>
      </x:c>
      <x:c r="L197" s="5" t="str">
        <x:v>kcal</x:v>
      </x:c>
      <x:c r="M197" s="5" t="str">
        <x:v>https://fdc.nal.usda.gov/</x:v>
      </x:c>
      <x:c r="N197" s="5" t="str">
        <x:v>SR28 NDB 15237; nutrients 203,205,204,208</x:v>
      </x:c>
      <x:c r="O197" s="5" t="str">
        <x:v>USDA total carbohydrate. Generic composition; Indian brands and recipes can differ.</x:v>
      </x:c>
      <x:c r="P197" s="5" t="str">
        <x:v>USDA recorded household weights, edible grams; sizes and recipes vary.</x:v>
      </x:c>
    </x:row>
    <x:row r="198" ht="64" customHeight="1">
      <x:c r="A198" s="7" t="str">
        <x:v>Fat Sources</x:v>
      </x:c>
      <x:c r="B198" s="7" t="n">
        <x:v>83</x:v>
      </x:c>
      <x:c r="C198" s="7" t="str">
        <x:v>Atlantic sardines, canned in oil, drained, with bones</x:v>
      </x:c>
      <x:c r="D198" s="7" t="str">
        <x:v>USDA SR28 (2015)</x:v>
      </x:c>
      <x:c r="E198" s="7" t="str">
        <x:v>NDB 15088</x:v>
      </x:c>
      <x:c r="F198" s="7" t="str">
        <x:v>Fish, sardine, Atlantic, canned in oil, drained solids with bone</x:v>
      </x:c>
      <x:c r="G198" s="26" t="n">
        <x:v>24.62</x:v>
      </x:c>
      <x:c r="H198" s="26" t="n">
        <x:v>0</x:v>
      </x:c>
      <x:c r="I198" s="26" t="n">
        <x:v>11.45</x:v>
      </x:c>
      <x:c r="J198" s="26" t="n">
        <x:v>0</x:v>
      </x:c>
      <x:c r="K198" s="26" t="n">
        <x:v>208</x:v>
      </x:c>
      <x:c r="L198" s="7" t="str">
        <x:v>kcal</x:v>
      </x:c>
      <x:c r="M198" s="7" t="str">
        <x:v>https://fdc.nal.usda.gov/</x:v>
      </x:c>
      <x:c r="N198" s="7" t="str">
        <x:v>SR28 NDB 15088; nutrients 203,205,204,208</x:v>
      </x:c>
      <x:c r="O198" s="7" t="str">
        <x:v>USDA total carbohydrate. Generic composition; Indian brands and recipes can differ.</x:v>
      </x:c>
      <x:c r="P198" s="7" t="str">
        <x:v>USDA recorded household weights, edible grams; sizes and recipes vary.</x:v>
      </x:c>
    </x:row>
    <x:row r="199" ht="64" customHeight="1">
      <x:c r="A199" s="5" t="str">
        <x:v>Fat Sources</x:v>
      </x:c>
      <x:c r="B199" s="5" t="n">
        <x:v>84</x:v>
      </x:c>
      <x:c r="C199" s="5" t="str">
        <x:v>Mayonnaise, regular</x:v>
      </x:c>
      <x:c r="D199" s="5" t="str">
        <x:v>USDA SR28 (2015)</x:v>
      </x:c>
      <x:c r="E199" s="5" t="str">
        <x:v>NDB 04025</x:v>
      </x:c>
      <x:c r="F199" s="5" t="str">
        <x:v>Salad dressing, mayonnaise, regular</x:v>
      </x:c>
      <x:c r="G199" s="24" t="n">
        <x:v>0.96</x:v>
      </x:c>
      <x:c r="H199" s="24" t="n">
        <x:v>0.57</x:v>
      </x:c>
      <x:c r="I199" s="24" t="n">
        <x:v>74.85</x:v>
      </x:c>
      <x:c r="J199" s="24" t="n">
        <x:v>0</x:v>
      </x:c>
      <x:c r="K199" s="24" t="n">
        <x:v>680</x:v>
      </x:c>
      <x:c r="L199" s="5" t="str">
        <x:v>kcal</x:v>
      </x:c>
      <x:c r="M199" s="5" t="str">
        <x:v>https://fdc.nal.usda.gov/</x:v>
      </x:c>
      <x:c r="N199" s="5" t="str">
        <x:v>SR28 NDB 04025; nutrients 203,205,204,208</x:v>
      </x:c>
      <x:c r="O199" s="5" t="str">
        <x:v>USDA total carbohydrate. Generic composition; Indian brands and recipes can differ.</x:v>
      </x:c>
      <x:c r="P199" s="5" t="str">
        <x:v>USDA recorded household weights, edible grams; sizes and recipes vary.</x:v>
      </x:c>
    </x:row>
    <x:row r="200" ht="64" customHeight="1">
      <x:c r="A200" s="7" t="str">
        <x:v>Fat Sources</x:v>
      </x:c>
      <x:c r="B200" s="7" t="n">
        <x:v>85</x:v>
      </x:c>
      <x:c r="C200" s="7" t="str">
        <x:v>Thousand Island dressing, regular</x:v>
      </x:c>
      <x:c r="D200" s="7" t="str">
        <x:v>USDA SR28 (2015)</x:v>
      </x:c>
      <x:c r="E200" s="7" t="str">
        <x:v>NDB 04017</x:v>
      </x:c>
      <x:c r="F200" s="7" t="str">
        <x:v>Salad dressing, thousand island, commercial, regular</x:v>
      </x:c>
      <x:c r="G200" s="26" t="n">
        <x:v>1.09</x:v>
      </x:c>
      <x:c r="H200" s="26" t="n">
        <x:v>14.64</x:v>
      </x:c>
      <x:c r="I200" s="26" t="n">
        <x:v>35.06</x:v>
      </x:c>
      <x:c r="J200" s="26" t="n">
        <x:v>0.8</x:v>
      </x:c>
      <x:c r="K200" s="26" t="n">
        <x:v>379</x:v>
      </x:c>
      <x:c r="L200" s="7" t="str">
        <x:v>kcal</x:v>
      </x:c>
      <x:c r="M200" s="7" t="str">
        <x:v>https://fdc.nal.usda.gov/</x:v>
      </x:c>
      <x:c r="N200" s="7" t="str">
        <x:v>SR28 NDB 04017; nutrients 203,205,204,208</x:v>
      </x:c>
      <x:c r="O200" s="7" t="str">
        <x:v>USDA total carbohydrate. Generic composition; Indian brands and recipes can differ.</x:v>
      </x:c>
      <x:c r="P200" s="7" t="str">
        <x:v>USDA recorded household weights, edible grams; sizes and recipes vary.</x:v>
      </x:c>
    </x:row>
    <x:row r="201" ht="64" customHeight="1">
      <x:c r="A201" s="5" t="str">
        <x:v>Fat Sources</x:v>
      </x:c>
      <x:c r="B201" s="5" t="n">
        <x:v>86</x:v>
      </x:c>
      <x:c r="C201" s="5" t="str">
        <x:v>Chocolate-hazelnut spread</x:v>
      </x:c>
      <x:c r="D201" s="5" t="str">
        <x:v>USDA SR28 (2015)</x:v>
      </x:c>
      <x:c r="E201" s="5" t="str">
        <x:v>NDB 19125</x:v>
      </x:c>
      <x:c r="F201" s="5" t="str">
        <x:v>Chocolate-flavored hazelnut spread</x:v>
      </x:c>
      <x:c r="G201" s="24" t="n">
        <x:v>5.41</x:v>
      </x:c>
      <x:c r="H201" s="24" t="n">
        <x:v>62.16</x:v>
      </x:c>
      <x:c r="I201" s="24" t="n">
        <x:v>29.73</x:v>
      </x:c>
      <x:c r="J201" s="24" t="n">
        <x:v>5.4</x:v>
      </x:c>
      <x:c r="K201" s="24" t="n">
        <x:v>541</x:v>
      </x:c>
      <x:c r="L201" s="5" t="str">
        <x:v>kcal</x:v>
      </x:c>
      <x:c r="M201" s="5" t="str">
        <x:v>https://fdc.nal.usda.gov/</x:v>
      </x:c>
      <x:c r="N201" s="5" t="str">
        <x:v>SR28 NDB 19125; nutrients 203,205,204,208</x:v>
      </x:c>
      <x:c r="O201" s="5" t="str">
        <x:v>USDA total carbohydrate. Generic composition; Indian brands and recipes can differ.</x:v>
      </x:c>
      <x:c r="P201" s="5" t="str">
        <x:v>USDA recorded household weights, edible grams; sizes and recipes vary.</x:v>
      </x:c>
    </x:row>
    <x:row r="202" ht="64" customHeight="1">
      <x:c r="A202" s="7" t="str">
        <x:v>Fat Sources</x:v>
      </x:c>
      <x:c r="B202" s="7" t="n">
        <x:v>87</x:v>
      </x:c>
      <x:c r="C202" s="7" t="str">
        <x:v>Dark chocolate, 70-85% cocoa solids</x:v>
      </x:c>
      <x:c r="D202" s="7" t="str">
        <x:v>USDA SR28 (2015)</x:v>
      </x:c>
      <x:c r="E202" s="7" t="str">
        <x:v>NDB 19904</x:v>
      </x:c>
      <x:c r="F202" s="7" t="str">
        <x:v>Chocolate, dark, 70-85% cacao solids</x:v>
      </x:c>
      <x:c r="G202" s="26" t="n">
        <x:v>7.79</x:v>
      </x:c>
      <x:c r="H202" s="26" t="n">
        <x:v>45.9</x:v>
      </x:c>
      <x:c r="I202" s="26" t="n">
        <x:v>42.63</x:v>
      </x:c>
      <x:c r="J202" s="26" t="n">
        <x:v>10.9</x:v>
      </x:c>
      <x:c r="K202" s="26" t="n">
        <x:v>598</x:v>
      </x:c>
      <x:c r="L202" s="7" t="str">
        <x:v>kcal</x:v>
      </x:c>
      <x:c r="M202" s="7" t="str">
        <x:v>https://fdc.nal.usda.gov/</x:v>
      </x:c>
      <x:c r="N202" s="7" t="str">
        <x:v>SR28 NDB 19904; nutrients 203,205,204,208</x:v>
      </x:c>
      <x:c r="O202" s="7" t="str">
        <x:v>USDA total carbohydrate. Generic composition; Indian brands and recipes can differ.</x:v>
      </x:c>
      <x:c r="P202" s="7" t="str">
        <x:v>USDA recorded household weights, edible grams; sizes and recipes vary.</x:v>
      </x:c>
    </x:row>
    <x:row r="203" ht="64" customHeight="1">
      <x:c r="A203" s="5" t="str">
        <x:v>Fat Sources</x:v>
      </x:c>
      <x:c r="B203" s="5" t="n">
        <x:v>88</x:v>
      </x:c>
      <x:c r="C203" s="5" t="str">
        <x:v>Milk chocolate, plain</x:v>
      </x:c>
      <x:c r="D203" s="5" t="str">
        <x:v>USDA SR28 (2015)</x:v>
      </x:c>
      <x:c r="E203" s="5" t="str">
        <x:v>NDB 19120</x:v>
      </x:c>
      <x:c r="F203" s="5" t="str">
        <x:v>Candies, milk chocolate</x:v>
      </x:c>
      <x:c r="G203" s="24" t="n">
        <x:v>7.65</x:v>
      </x:c>
      <x:c r="H203" s="24" t="n">
        <x:v>59.4</x:v>
      </x:c>
      <x:c r="I203" s="24" t="n">
        <x:v>29.66</x:v>
      </x:c>
      <x:c r="J203" s="24" t="n">
        <x:v>3.4</x:v>
      </x:c>
      <x:c r="K203" s="24" t="n">
        <x:v>535</x:v>
      </x:c>
      <x:c r="L203" s="5" t="str">
        <x:v>kcal</x:v>
      </x:c>
      <x:c r="M203" s="5" t="str">
        <x:v>https://fdc.nal.usda.gov/</x:v>
      </x:c>
      <x:c r="N203" s="5" t="str">
        <x:v>SR28 NDB 19120; nutrients 203,205,204,208</x:v>
      </x:c>
      <x:c r="O203" s="5" t="str">
        <x:v>USDA total carbohydrate. Generic composition; Indian brands and recipes can differ.</x:v>
      </x:c>
      <x:c r="P203" s="5" t="str">
        <x:v>USDA recorded household weights, edible grams; sizes and recipes vary.</x:v>
      </x:c>
    </x:row>
    <x:row r="204" ht="64" customHeight="1">
      <x:c r="A204" s="7" t="str">
        <x:v>Fat Sources</x:v>
      </x:c>
      <x:c r="B204" s="7" t="n">
        <x:v>89</x:v>
      </x:c>
      <x:c r="C204" s="7" t="str">
        <x:v>White chocolate</x:v>
      </x:c>
      <x:c r="D204" s="7" t="str">
        <x:v>USDA SR28 (2015)</x:v>
      </x:c>
      <x:c r="E204" s="7" t="str">
        <x:v>NDB 19087</x:v>
      </x:c>
      <x:c r="F204" s="7" t="str">
        <x:v>Candies, white chocolate</x:v>
      </x:c>
      <x:c r="G204" s="26" t="n">
        <x:v>5.87</x:v>
      </x:c>
      <x:c r="H204" s="26" t="n">
        <x:v>59.24</x:v>
      </x:c>
      <x:c r="I204" s="26" t="n">
        <x:v>32.09</x:v>
      </x:c>
      <x:c r="J204" s="26" t="n">
        <x:v>0.2</x:v>
      </x:c>
      <x:c r="K204" s="26" t="n">
        <x:v>539</x:v>
      </x:c>
      <x:c r="L204" s="7" t="str">
        <x:v>kcal</x:v>
      </x:c>
      <x:c r="M204" s="7" t="str">
        <x:v>https://fdc.nal.usda.gov/</x:v>
      </x:c>
      <x:c r="N204" s="7" t="str">
        <x:v>SR28 NDB 19087; nutrients 203,205,204,208</x:v>
      </x:c>
      <x:c r="O204" s="7" t="str">
        <x:v>USDA total carbohydrate. Generic composition; Indian brands and recipes can differ.</x:v>
      </x:c>
      <x:c r="P204" s="7" t="str">
        <x:v>USDA recorded household weights, edible grams; sizes and recipes vary.</x:v>
      </x:c>
    </x:row>
    <x:row r="205" ht="64" customHeight="1">
      <x:c r="A205" s="5" t="str">
        <x:v>Fat Sources</x:v>
      </x:c>
      <x:c r="B205" s="5" t="n">
        <x:v>90</x:v>
      </x:c>
      <x:c r="C205" s="5" t="str">
        <x:v>Potato chips, plain, salted</x:v>
      </x:c>
      <x:c r="D205" s="5" t="str">
        <x:v>USDA SR28 (2015)</x:v>
      </x:c>
      <x:c r="E205" s="5" t="str">
        <x:v>NDB 19411</x:v>
      </x:c>
      <x:c r="F205" s="5" t="str">
        <x:v>Snacks, potato chips, plain, salted</x:v>
      </x:c>
      <x:c r="G205" s="24" t="n">
        <x:v>6.39</x:v>
      </x:c>
      <x:c r="H205" s="24" t="n">
        <x:v>53.83</x:v>
      </x:c>
      <x:c r="I205" s="24" t="n">
        <x:v>33.98</x:v>
      </x:c>
      <x:c r="J205" s="24" t="n">
        <x:v>3.1</x:v>
      </x:c>
      <x:c r="K205" s="24" t="n">
        <x:v>532</x:v>
      </x:c>
      <x:c r="L205" s="5" t="str">
        <x:v>kcal</x:v>
      </x:c>
      <x:c r="M205" s="5" t="str">
        <x:v>https://fdc.nal.usda.gov/</x:v>
      </x:c>
      <x:c r="N205" s="5" t="str">
        <x:v>SR28 NDB 19411; nutrients 203,205,204,208</x:v>
      </x:c>
      <x:c r="O205" s="5" t="str">
        <x:v>USDA total carbohydrate. Generic composition; Indian brands and recipes can differ.</x:v>
      </x:c>
      <x:c r="P205" s="5" t="str">
        <x:v>USDA recorded household weights, edible grams; sizes and recipes vary.</x:v>
      </x:c>
    </x:row>
    <x:row r="206" ht="64" customHeight="1">
      <x:c r="A206" s="7" t="str">
        <x:v>Fat Sources</x:v>
      </x:c>
      <x:c r="B206" s="7" t="n">
        <x:v>91</x:v>
      </x:c>
      <x:c r="C206" s="7" t="str">
        <x:v>Banana chips, generic</x:v>
      </x:c>
      <x:c r="D206" s="7" t="str">
        <x:v>USDA SR28 (2015)</x:v>
      </x:c>
      <x:c r="E206" s="7" t="str">
        <x:v>NDB 19400</x:v>
      </x:c>
      <x:c r="F206" s="7" t="str">
        <x:v>Snacks, banana chips</x:v>
      </x:c>
      <x:c r="G206" s="26" t="n">
        <x:v>2.3</x:v>
      </x:c>
      <x:c r="H206" s="26" t="n">
        <x:v>58.4</x:v>
      </x:c>
      <x:c r="I206" s="26" t="n">
        <x:v>33.6</x:v>
      </x:c>
      <x:c r="J206" s="26" t="n">
        <x:v>7.7</x:v>
      </x:c>
      <x:c r="K206" s="26" t="n">
        <x:v>519</x:v>
      </x:c>
      <x:c r="L206" s="7" t="str">
        <x:v>kcal</x:v>
      </x:c>
      <x:c r="M206" s="7" t="str">
        <x:v>https://fdc.nal.usda.gov/</x:v>
      </x:c>
      <x:c r="N206" s="7" t="str">
        <x:v>SR28 NDB 19400; nutrients 203,205,204,208</x:v>
      </x:c>
      <x:c r="O206" s="7" t="str">
        <x:v>USDA total carbohydrate. Generic composition; Indian brands and recipes can differ.</x:v>
      </x:c>
      <x:c r="P206" s="7" t="str">
        <x:v>USDA recorded household weights, edible grams; sizes and recipes vary.</x:v>
      </x:c>
    </x:row>
    <x:row r="207" ht="64" customHeight="1">
      <x:c r="A207" s="5" t="str">
        <x:v>Fat Sources</x:v>
      </x:c>
      <x:c r="B207" s="5" t="n">
        <x:v>92</x:v>
      </x:c>
      <x:c r="C207" s="5" t="str">
        <x:v>Butter croissant</x:v>
      </x:c>
      <x:c r="D207" s="5" t="str">
        <x:v>USDA SR28 (2015)</x:v>
      </x:c>
      <x:c r="E207" s="5" t="str">
        <x:v>NDB 18239</x:v>
      </x:c>
      <x:c r="F207" s="5" t="str">
        <x:v>Croissants, butter</x:v>
      </x:c>
      <x:c r="G207" s="24" t="n">
        <x:v>8.2</x:v>
      </x:c>
      <x:c r="H207" s="24" t="n">
        <x:v>45.8</x:v>
      </x:c>
      <x:c r="I207" s="24" t="n">
        <x:v>21</x:v>
      </x:c>
      <x:c r="J207" s="24" t="n">
        <x:v>2.6</x:v>
      </x:c>
      <x:c r="K207" s="24" t="n">
        <x:v>406</x:v>
      </x:c>
      <x:c r="L207" s="5" t="str">
        <x:v>kcal</x:v>
      </x:c>
      <x:c r="M207" s="5" t="str">
        <x:v>https://fdc.nal.usda.gov/</x:v>
      </x:c>
      <x:c r="N207" s="5" t="str">
        <x:v>SR28 NDB 18239; nutrients 203,205,204,208</x:v>
      </x:c>
      <x:c r="O207" s="5" t="str">
        <x:v>USDA total carbohydrate. Generic composition; Indian brands and recipes can differ.</x:v>
      </x:c>
      <x:c r="P207" s="5" t="str">
        <x:v>USDA recorded household weights, edible grams; sizes and recipes vary.</x:v>
      </x:c>
    </x:row>
    <x:row r="208" ht="64" customHeight="1">
      <x:c r="A208" s="7" t="str">
        <x:v>Fat Sources</x:v>
      </x:c>
      <x:c r="B208" s="7" t="n">
        <x:v>93</x:v>
      </x:c>
      <x:c r="C208" s="7" t="str">
        <x:v>Butter cookies / biscuits, commercial</x:v>
      </x:c>
      <x:c r="D208" s="7" t="str">
        <x:v>USDA SR28 (2015)</x:v>
      </x:c>
      <x:c r="E208" s="7" t="str">
        <x:v>NDB 18155</x:v>
      </x:c>
      <x:c r="F208" s="7" t="str">
        <x:v>Cookies, butter, commercially prepared, enriched</x:v>
      </x:c>
      <x:c r="G208" s="26" t="n">
        <x:v>6.1</x:v>
      </x:c>
      <x:c r="H208" s="26" t="n">
        <x:v>68.9</x:v>
      </x:c>
      <x:c r="I208" s="26" t="n">
        <x:v>18.8</x:v>
      </x:c>
      <x:c r="J208" s="26" t="n">
        <x:v>0.8</x:v>
      </x:c>
      <x:c r="K208" s="26" t="n">
        <x:v>467</x:v>
      </x:c>
      <x:c r="L208" s="7" t="str">
        <x:v>kcal</x:v>
      </x:c>
      <x:c r="M208" s="7" t="str">
        <x:v>https://fdc.nal.usda.gov/</x:v>
      </x:c>
      <x:c r="N208" s="7" t="str">
        <x:v>SR28 NDB 18155; nutrients 203,205,204,208</x:v>
      </x:c>
      <x:c r="O208" s="7" t="str">
        <x:v>USDA total carbohydrate. Generic composition; Indian brands and recipes can differ.</x:v>
      </x:c>
      <x:c r="P208" s="7" t="str">
        <x:v>USDA recorded household weights, edible grams; sizes and recipes vary.</x:v>
      </x:c>
    </x:row>
    <x:row r="209" ht="64" customHeight="1">
      <x:c r="A209" s="5" t="str">
        <x:v>Fat Sources</x:v>
      </x:c>
      <x:c r="B209" s="5" t="n">
        <x:v>94</x:v>
      </x:c>
      <x:c r="C209" s="5" t="str">
        <x:v>Shortbread cookies / biscuits, plain</x:v>
      </x:c>
      <x:c r="D209" s="5" t="str">
        <x:v>USDA SR28 (2015)</x:v>
      </x:c>
      <x:c r="E209" s="5" t="str">
        <x:v>NDB 18192</x:v>
      </x:c>
      <x:c r="F209" s="5" t="str">
        <x:v>Cookies, shortbread, commercially prepared, plain</x:v>
      </x:c>
      <x:c r="G209" s="24" t="n">
        <x:v>5.37</x:v>
      </x:c>
      <x:c r="H209" s="24" t="n">
        <x:v>63.78</x:v>
      </x:c>
      <x:c r="I209" s="24" t="n">
        <x:v>26.22</x:v>
      </x:c>
      <x:c r="J209" s="24" t="n">
        <x:v>1.3</x:v>
      </x:c>
      <x:c r="K209" s="24" t="n">
        <x:v>514</x:v>
      </x:c>
      <x:c r="L209" s="5" t="str">
        <x:v>kcal</x:v>
      </x:c>
      <x:c r="M209" s="5" t="str">
        <x:v>https://fdc.nal.usda.gov/</x:v>
      </x:c>
      <x:c r="N209" s="5" t="str">
        <x:v>SR28 NDB 18192; nutrients 203,205,204,208</x:v>
      </x:c>
      <x:c r="O209" s="5" t="str">
        <x:v>USDA total carbohydrate. Generic composition; Indian brands and recipes can differ.</x:v>
      </x:c>
      <x:c r="P209" s="5" t="str">
        <x:v>USDA recorded household weights, edible grams; sizes and recipes vary.</x:v>
      </x:c>
    </x:row>
    <x:row r="210" ht="64" customHeight="1">
      <x:c r="A210" s="7" t="str">
        <x:v>Fat Sources</x:v>
      </x:c>
      <x:c r="B210" s="7" t="n">
        <x:v>95</x:v>
      </x:c>
      <x:c r="C210" s="7" t="str">
        <x:v>Chocolate-chip cookies, higher-fat commercial recipe</x:v>
      </x:c>
      <x:c r="D210" s="7" t="str">
        <x:v>USDA SR28 (2015)</x:v>
      </x:c>
      <x:c r="E210" s="7" t="str">
        <x:v>NDB 18159</x:v>
      </x:c>
      <x:c r="F210" s="7" t="str">
        <x:v>Cookies, chocolate chip, commercially prepared, regular, higher fat, enriched</x:v>
      </x:c>
      <x:c r="G210" s="26" t="n">
        <x:v>5.1</x:v>
      </x:c>
      <x:c r="H210" s="26" t="n">
        <x:v>65.36</x:v>
      </x:c>
      <x:c r="I210" s="26" t="n">
        <x:v>24.72</x:v>
      </x:c>
      <x:c r="J210" s="26" t="n">
        <x:v>2</x:v>
      </x:c>
      <x:c r="K210" s="26" t="n">
        <x:v>492</x:v>
      </x:c>
      <x:c r="L210" s="7" t="str">
        <x:v>kcal</x:v>
      </x:c>
      <x:c r="M210" s="7" t="str">
        <x:v>https://fdc.nal.usda.gov/</x:v>
      </x:c>
      <x:c r="N210" s="7" t="str">
        <x:v>SR28 NDB 18159; nutrients 203,205,204,208</x:v>
      </x:c>
      <x:c r="O210" s="7" t="str">
        <x:v>USDA total carbohydrate. Generic composition; Indian brands and recipes can differ.</x:v>
      </x:c>
      <x:c r="P210" s="7" t="str">
        <x:v>USDA recorded household weights, edible grams; sizes and recipes vary.</x:v>
      </x:c>
    </x:row>
    <x:row r="211" ht="64" customHeight="1">
      <x:c r="A211" s="5" t="str">
        <x:v>Fat Sources</x:v>
      </x:c>
      <x:c r="B211" s="5" t="n">
        <x:v>96</x:v>
      </x:c>
      <x:c r="C211" s="5" t="str">
        <x:v>Vanilla ice cream, regular</x:v>
      </x:c>
      <x:c r="D211" s="5" t="str">
        <x:v>USDA SR28 (2015)</x:v>
      </x:c>
      <x:c r="E211" s="5" t="str">
        <x:v>NDB 19095</x:v>
      </x:c>
      <x:c r="F211" s="5" t="str">
        <x:v>Ice creams, vanilla</x:v>
      </x:c>
      <x:c r="G211" s="24" t="n">
        <x:v>3.5</x:v>
      </x:c>
      <x:c r="H211" s="24" t="n">
        <x:v>23.6</x:v>
      </x:c>
      <x:c r="I211" s="24" t="n">
        <x:v>11</x:v>
      </x:c>
      <x:c r="J211" s="24" t="n">
        <x:v>0.7</x:v>
      </x:c>
      <x:c r="K211" s="24" t="n">
        <x:v>207</x:v>
      </x:c>
      <x:c r="L211" s="5" t="str">
        <x:v>kcal</x:v>
      </x:c>
      <x:c r="M211" s="5" t="str">
        <x:v>https://fdc.nal.usda.gov/</x:v>
      </x:c>
      <x:c r="N211" s="5" t="str">
        <x:v>SR28 NDB 19095; nutrients 203,205,204,208</x:v>
      </x:c>
      <x:c r="O211" s="5" t="str">
        <x:v>USDA total carbohydrate. Generic composition; Indian brands and recipes can differ.</x:v>
      </x:c>
      <x:c r="P211" s="5" t="str">
        <x:v>USDA recorded household weights, edible grams; sizes and recipes vary.</x:v>
      </x:c>
    </x:row>
    <x:row r="212" ht="64" customHeight="1">
      <x:c r="A212" s="7" t="str">
        <x:v>Fat Sources</x:v>
      </x:c>
      <x:c r="B212" s="7" t="n">
        <x:v>97</x:v>
      </x:c>
      <x:c r="C212" s="7" t="str">
        <x:v>Chocolate ice cream, regular</x:v>
      </x:c>
      <x:c r="D212" s="7" t="str">
        <x:v>USDA SR28 (2015)</x:v>
      </x:c>
      <x:c r="E212" s="7" t="str">
        <x:v>NDB 19270</x:v>
      </x:c>
      <x:c r="F212" s="7" t="str">
        <x:v>Ice creams, chocolate</x:v>
      </x:c>
      <x:c r="G212" s="26" t="n">
        <x:v>3.8</x:v>
      </x:c>
      <x:c r="H212" s="26" t="n">
        <x:v>28.2</x:v>
      </x:c>
      <x:c r="I212" s="26" t="n">
        <x:v>11</x:v>
      </x:c>
      <x:c r="J212" s="26" t="n">
        <x:v>1.2</x:v>
      </x:c>
      <x:c r="K212" s="26" t="n">
        <x:v>216</x:v>
      </x:c>
      <x:c r="L212" s="7" t="str">
        <x:v>kcal</x:v>
      </x:c>
      <x:c r="M212" s="7" t="str">
        <x:v>https://fdc.nal.usda.gov/</x:v>
      </x:c>
      <x:c r="N212" s="7" t="str">
        <x:v>SR28 NDB 19270; nutrients 203,205,204,208</x:v>
      </x:c>
      <x:c r="O212" s="7" t="str">
        <x:v>USDA total carbohydrate. Generic composition; Indian brands and recipes can differ.</x:v>
      </x:c>
      <x:c r="P212" s="7" t="str">
        <x:v>USDA recorded household weights, edible grams; sizes and recipes vary.</x:v>
      </x:c>
    </x:row>
    <x:row r="213" ht="64" customHeight="1">
      <x:c r="A213" s="5" t="str">
        <x:v>Fat Sources</x:v>
      </x:c>
      <x:c r="B213" s="5" t="n">
        <x:v>98</x:v>
      </x:c>
      <x:c r="C213" s="5" t="str">
        <x:v>Peanut brittle, recipe reference for peanut chikki</x:v>
      </x:c>
      <x:c r="D213" s="5" t="str">
        <x:v>USDA SR28 (2015)</x:v>
      </x:c>
      <x:c r="E213" s="5" t="str">
        <x:v>NDB 19148</x:v>
      </x:c>
      <x:c r="F213" s="5" t="str">
        <x:v>Candies, peanut brittle, prepared-from-recipe</x:v>
      </x:c>
      <x:c r="G213" s="24" t="n">
        <x:v>7.57</x:v>
      </x:c>
      <x:c r="H213" s="24" t="n">
        <x:v>71.24</x:v>
      </x:c>
      <x:c r="I213" s="24" t="n">
        <x:v>18.98</x:v>
      </x:c>
      <x:c r="J213" s="24" t="n">
        <x:v>2.5</x:v>
      </x:c>
      <x:c r="K213" s="24" t="n">
        <x:v>486</x:v>
      </x:c>
      <x:c r="L213" s="5" t="str">
        <x:v>kcal</x:v>
      </x:c>
      <x:c r="M213" s="5" t="str">
        <x:v>https://fdc.nal.usda.gov/</x:v>
      </x:c>
      <x:c r="N213" s="5" t="str">
        <x:v>SR28 NDB 19148; nutrients 203,205,204,208</x:v>
      </x:c>
      <x:c r="O213" s="5" t="str">
        <x:v>Explicit analogue, not an analysed Indian product: Candies, peanut brittle, prepared-from-recipe. Use brand/recipe values when available.</x:v>
      </x:c>
      <x:c r="P213" s="5" t="str">
        <x:v>USDA recorded household weights, edible grams; sizes and recipes vary.</x:v>
      </x:c>
    </x:row>
    <x:row r="214" ht="64" customHeight="1">
      <x:c r="A214" s="7" t="str">
        <x:v>Fat Sources</x:v>
      </x:c>
      <x:c r="B214" s="7" t="n">
        <x:v>99</x:v>
      </x:c>
      <x:c r="C214" s="7" t="str">
        <x:v>Sesame crunch, reference for til brittle</x:v>
      </x:c>
      <x:c r="D214" s="7" t="str">
        <x:v>USDA SR28 (2015)</x:v>
      </x:c>
      <x:c r="E214" s="7" t="str">
        <x:v>NDB 19154</x:v>
      </x:c>
      <x:c r="F214" s="7" t="str">
        <x:v>Candies, sesame crunch</x:v>
      </x:c>
      <x:c r="G214" s="26" t="n">
        <x:v>11.6</x:v>
      </x:c>
      <x:c r="H214" s="26" t="n">
        <x:v>50.3</x:v>
      </x:c>
      <x:c r="I214" s="26" t="n">
        <x:v>33.3</x:v>
      </x:c>
      <x:c r="J214" s="26" t="n">
        <x:v>7.7</x:v>
      </x:c>
      <x:c r="K214" s="26" t="n">
        <x:v>516</x:v>
      </x:c>
      <x:c r="L214" s="7" t="str">
        <x:v>kcal</x:v>
      </x:c>
      <x:c r="M214" s="7" t="str">
        <x:v>https://fdc.nal.usda.gov/</x:v>
      </x:c>
      <x:c r="N214" s="7" t="str">
        <x:v>SR28 NDB 19154; nutrients 203,205,204,208</x:v>
      </x:c>
      <x:c r="O214" s="7" t="str">
        <x:v>Explicit analogue, not an analysed Indian product: Candies, sesame crunch. Use brand/recipe values when available.</x:v>
      </x:c>
      <x:c r="P214" s="7" t="str">
        <x:v>USDA recorded household weights, edible grams; sizes and recipes vary.</x:v>
      </x:c>
    </x:row>
    <x:row r="215" ht="64" customHeight="1">
      <x:c r="A215" s="5" t="str">
        <x:v>Fat Sources</x:v>
      </x:c>
      <x:c r="B215" s="5" t="n">
        <x:v>100</x:v>
      </x:c>
      <x:c r="C215" s="5" t="str">
        <x:v>Whole-wheat paratha, commercial, frozen</x:v>
      </x:c>
      <x:c r="D215" s="5" t="str">
        <x:v>USDA SR28 (2015)</x:v>
      </x:c>
      <x:c r="E215" s="5" t="str">
        <x:v>NDB 28286</x:v>
      </x:c>
      <x:c r="F215" s="5" t="str">
        <x:v>Bread, paratha, whole wheat, commercially prepared, frozen</x:v>
      </x:c>
      <x:c r="G215" s="24" t="n">
        <x:v>6.36</x:v>
      </x:c>
      <x:c r="H215" s="24" t="n">
        <x:v>45.35</x:v>
      </x:c>
      <x:c r="I215" s="24" t="n">
        <x:v>13.2</x:v>
      </x:c>
      <x:c r="J215" s="24" t="n">
        <x:v>9.6</x:v>
      </x:c>
      <x:c r="K215" s="24" t="n">
        <x:v>326</x:v>
      </x:c>
      <x:c r="L215" s="5" t="str">
        <x:v>kcal</x:v>
      </x:c>
      <x:c r="M215" s="5" t="str">
        <x:v>https://fdc.nal.usda.gov/</x:v>
      </x:c>
      <x:c r="N215" s="5" t="str">
        <x:v>SR28 NDB 28286; nutrients 203,205,204,208</x:v>
      </x:c>
      <x:c r="O215" s="5" t="str">
        <x:v>USDA total carbohydrate. Generic composition; Indian brands and recipes can differ.</x:v>
      </x:c>
      <x:c r="P215" s="5" t="str">
        <x:v>USDA recorded household weights, edible grams; sizes and recipes vary.</x:v>
      </x:c>
    </x:row>
  </x:sheetData>
  <x:pageMargins left="0.7" right="0.7" top="0.75" bottom="0.75" header="0.3" footer="0.3"/>
  <x:tableParts count="1">
    <x:tablePart xmlns:r="http://schemas.openxmlformats.org/officeDocument/2006/relationships" r:id="R75545c4ee2e649e6"/>
  </x:tableParts>
</x:worksheet>
</file>