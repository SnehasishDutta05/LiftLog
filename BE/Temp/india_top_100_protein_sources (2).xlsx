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03dc8215c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ein Sources" sheetId="1" r:id="Rc155d5c4ecb047a8"/>
    <x:sheet xmlns:r="http://schemas.openxmlformats.org/officeDocument/2006/relationships" name="Sources and Notes" sheetId="2" r:id="R31195fd20d38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0.##"/>
  </x:numFmts>
  <x:fonts count="5">
    <x:font>
      <x:sz val="11"/>
      <x:name val="Carlito"/>
    </x:font>
    <x:font>
      <x:sz val="10"/>
      <x:color rgb="FF18332B"/>
      <x:name val="Arial"/>
    </x:font>
    <x:font>
      <x:b/>
      <x:sz val="10"/>
      <x:color rgb="FFFFFFFF"/>
      <x:name val="Arial"/>
    </x:font>
    <x:font>
      <x:b/>
      <x:sz val="14"/>
      <x:color rgb="FF164B3B"/>
      <x:name val="Arial"/>
    </x:font>
    <x:font>
      <x:b/>
      <x:sz val="10"/>
      <x:color rgb="FF1833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4B3B"/>
      </x:patternFill>
    </x:fill>
    <x:fill>
      <x:patternFill patternType="solid">
        <x:fgColor rgb="FFEEF6F1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7442e369c4cd0" /><Relationship Type="http://schemas.openxmlformats.org/officeDocument/2006/relationships/theme" Target="/xl/theme/theme1.xml" Id="R7bd94be78aee4a79" /><Relationship Type="http://schemas.openxmlformats.org/officeDocument/2006/relationships/sharedStrings" Target="/xl/sharedStrings.xml" Id="R05a0af8bf3b24f22" /><Relationship Type="http://schemas.openxmlformats.org/officeDocument/2006/relationships/worksheet" Target="/xl/worksheets/sheet1.xml" Id="Rc155d5c4ecb047a8" /><Relationship Type="http://schemas.openxmlformats.org/officeDocument/2006/relationships/worksheet" Target="/xl/worksheets/sheet2.xml" Id="R31195fd20d384db2" /></Relationships>
</file>

<file path=xl/tables/table1.xml><?xml version="1.0" encoding="utf-8"?>
<x:table xmlns:x="http://schemas.openxmlformats.org/spreadsheetml/2006/main" id="1" name="ProteinFoods" displayName="ProteinFoods" ref="A1:L101" headerRowCount="1" totalsRowCount="0" totalsRowShown="0">
  <x:tableColumns count="12">
    <x:tableColumn id="1" name="slno."/>
    <x:tableColumn id="2" name="food"/>
    <x:tableColumn id="3" name="protein_per_100"/>
    <x:tableColumn id="4" name="carbs_per_100"/>
    <x:tableColumn id="5" name="fats_per_100"/>
    <x:tableColumn id="6" name="calories_per_100"/>
    <x:tableColumn id="7" name="common_measured_unit1"/>
    <x:tableColumn id="8" name="weight1"/>
    <x:tableColumn id="9" name="common_measured_unit2"/>
    <x:tableColumn id="10" name="weight2"/>
    <x:tableColumn id="11" name="common_measured_unit3"/>
    <x:tableColumn id="12" name="weight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utritionReferences" displayName="NutritionReferences" ref="A14:O114" headerRowCount="1" totalsRowCount="0" totalsRowShown="0">
  <x:tableColumns count="15">
    <x:tableColumn id="1" name="slno."/>
    <x:tableColumn id="2" name="food"/>
    <x:tableColumn id="3" name="reference"/>
    <x:tableColumn id="4" name="record_id"/>
    <x:tableColumn id="5" name="original_food_description"/>
    <x:tableColumn id="6" name="protein_g"/>
    <x:tableColumn id="7" name="source_carbs_g"/>
    <x:tableColumn id="8" name="fat_g"/>
    <x:tableColumn id="9" name="fibre_g"/>
    <x:tableColumn id="10" name="source_energy"/>
    <x:tableColumn id="11" name="energy_unit"/>
    <x:tableColumn id="12" name="reference_url"/>
    <x:tableColumn id="13" name="record_location"/>
    <x:tableColumn id="14" name="nutrition_basis"/>
    <x:tableColumn id="15" name="serving_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b23dcb765c49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76c3bb932d4c4b" /></Relationships>
</file>

<file path=xl/worksheets/sheet1.xml><?xml version="1.0" encoding="utf-8"?>
<x:worksheet xmlns:x="http://schemas.openxmlformats.org/spreadsheetml/2006/main">
  <x:sheetPr>
    <x:tabColor rgb="FF164B3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5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4" hidden="0" customWidth="1"/>
    <x:col min="9" max="9" width="34" hidden="0" customWidth="1"/>
    <x:col min="11" max="11" width="34" hidden="0" customWidth="1"/>
    <x:col min="8" max="8" width="11" hidden="0" customWidth="1"/>
    <x:col min="10" max="10" width="11" hidden="0" customWidth="1"/>
    <x:col min="12" max="12" width="11" hidden="0" customWidth="1"/>
  </x:cols>
  <x:sheetData>
    <x:row r="1" ht="48" customHeight="1">
      <x:c r="A1" s="6" t="str">
        <x:v>slno.</x:v>
      </x:c>
      <x:c r="B1" s="6" t="str">
        <x:v>food</x:v>
      </x:c>
      <x:c r="C1" s="6" t="str">
        <x:v>protein_per_100</x:v>
      </x:c>
      <x:c r="D1" s="6" t="str">
        <x:v>carbs_per_100</x:v>
      </x:c>
      <x:c r="E1" s="6" t="str">
        <x:v>fats_per_100</x:v>
      </x:c>
      <x:c r="F1" s="6" t="str">
        <x:v>calories_per_100</x:v>
      </x:c>
      <x:c r="G1" s="6" t="str">
        <x:v>common_measured_unit1</x:v>
      </x:c>
      <x:c r="H1" s="6" t="str">
        <x:v>weight1</x:v>
      </x:c>
      <x:c r="I1" s="6" t="str">
        <x:v>common_measured_unit2</x:v>
      </x:c>
      <x:c r="J1" s="6" t="str">
        <x:v>weight2</x:v>
      </x:c>
      <x:c r="K1" s="6" t="str">
        <x:v>common_measured_unit3</x:v>
      </x:c>
      <x:c r="L1" s="6" t="str">
        <x:v>weight3</x:v>
      </x:c>
    </x:row>
    <x:row r="2" ht="30" customHeight="1">
      <x:c r="A2" s="11" t="n">
        <x:v>1</x:v>
      </x:c>
      <x:c r="B2" s="12" t="str">
        <x:v>Chana dal, dry</x:v>
      </x:c>
      <x:c r="C2" s="13" t="n">
        <x:v>21.55</x:v>
      </x:c>
      <x:c r="D2" s="13" t="n">
        <x:f>ROUND('Sources and Notes'!G15+'Sources and Notes'!I15,2)</x:f>
        <x:v>61.87</x:v>
      </x:c>
      <x:c r="E2" s="13" t="n">
        <x:v>5.31</x:v>
      </x:c>
      <x:c r="F2" s="14" t="n">
        <x:f>ROUND('Sources and Notes'!J15/4.184,1)</x:f>
        <x:v>329.1</x:v>
      </x:c>
      <x:c r="G2" s="12"/>
      <x:c r="H2" s="15"/>
      <x:c r="I2" s="12"/>
      <x:c r="J2" s="15"/>
      <x:c r="K2" s="12"/>
      <x:c r="L2" s="15"/>
    </x:row>
    <x:row r="3" ht="30" customHeight="1">
      <x:c r="A3" s="2" t="n">
        <x:v>2</x:v>
      </x:c>
      <x:c r="B3" s="10" t="str">
        <x:v>Kala chana / whole Bengal gram, dry</x:v>
      </x:c>
      <x:c r="C3" s="7" t="n">
        <x:v>18.77</x:v>
      </x:c>
      <x:c r="D3" s="7" t="n">
        <x:f>ROUND('Sources and Notes'!G16+'Sources and Notes'!I16,2)</x:f>
        <x:v>64.78</x:v>
      </x:c>
      <x:c r="E3" s="7" t="n">
        <x:v>5.11</x:v>
      </x:c>
      <x:c r="F3" s="8" t="n">
        <x:f>ROUND('Sources and Notes'!J16/4.184,1)</x:f>
        <x:v>287</x:v>
      </x:c>
      <x:c r="G3" s="10"/>
      <x:c r="H3" s="9"/>
      <x:c r="I3" s="10"/>
      <x:c r="J3" s="9"/>
      <x:c r="K3" s="10"/>
      <x:c r="L3" s="9"/>
    </x:row>
    <x:row r="4" ht="30" customHeight="1">
      <x:c r="A4" s="11" t="n">
        <x:v>3</x:v>
      </x:c>
      <x:c r="B4" s="12" t="str">
        <x:v>Urad dal, dry</x:v>
      </x:c>
      <x:c r="C4" s="13" t="n">
        <x:v>23.06</x:v>
      </x:c>
      <x:c r="D4" s="13" t="n">
        <x:f>ROUND('Sources and Notes'!G17+'Sources and Notes'!I17,2)</x:f>
        <x:v>62.93</x:v>
      </x:c>
      <x:c r="E4" s="13" t="n">
        <x:v>1.69</x:v>
      </x:c>
      <x:c r="F4" s="14" t="n">
        <x:f>ROUND('Sources and Notes'!J17/4.184,1)</x:f>
        <x:v>324.1</x:v>
      </x:c>
      <x:c r="G4" s="12"/>
      <x:c r="H4" s="15"/>
      <x:c r="I4" s="12"/>
      <x:c r="J4" s="15"/>
      <x:c r="K4" s="12"/>
      <x:c r="L4" s="15"/>
    </x:row>
    <x:row r="5" ht="30" customHeight="1">
      <x:c r="A5" s="2" t="n">
        <x:v>4</x:v>
      </x:c>
      <x:c r="B5" s="10" t="str">
        <x:v>Whole urad / black gram, dry</x:v>
      </x:c>
      <x:c r="C5" s="7" t="n">
        <x:v>21.97</x:v>
      </x:c>
      <x:c r="D5" s="7" t="n">
        <x:f>ROUND('Sources and Notes'!G18+'Sources and Notes'!I18,2)</x:f>
        <x:v>64.4</x:v>
      </x:c>
      <x:c r="E5" s="7" t="n">
        <x:v>1.58</x:v>
      </x:c>
      <x:c r="F5" s="8" t="n">
        <x:f>ROUND('Sources and Notes'!J18/4.184,1)</x:f>
        <x:v>291.3</x:v>
      </x:c>
      <x:c r="G5" s="10"/>
      <x:c r="H5" s="9"/>
      <x:c r="I5" s="10"/>
      <x:c r="J5" s="9"/>
      <x:c r="K5" s="10"/>
      <x:c r="L5" s="9"/>
    </x:row>
    <x:row r="6" ht="30" customHeight="1">
      <x:c r="A6" s="11" t="n">
        <x:v>5</x:v>
      </x:c>
      <x:c r="B6" s="12" t="str">
        <x:v>Lobia / cowpea, brown, dry</x:v>
      </x:c>
      <x:c r="C6" s="13" t="n">
        <x:v>20.36</x:v>
      </x:c>
      <x:c r="D6" s="13" t="n">
        <x:f>ROUND('Sources and Notes'!G19+'Sources and Notes'!I19,2)</x:f>
        <x:v>66.16</x:v>
      </x:c>
      <x:c r="E6" s="13" t="n">
        <x:v>1.15</x:v>
      </x:c>
      <x:c r="F6" s="14" t="n">
        <x:f>ROUND('Sources and Notes'!J19/4.184,1)</x:f>
        <x:v>320.3</x:v>
      </x:c>
      <x:c r="G6" s="12"/>
      <x:c r="H6" s="15"/>
      <x:c r="I6" s="12"/>
      <x:c r="J6" s="15"/>
      <x:c r="K6" s="12"/>
      <x:c r="L6" s="15"/>
    </x:row>
    <x:row r="7" ht="30" customHeight="1">
      <x:c r="A7" s="2" t="n">
        <x:v>6</x:v>
      </x:c>
      <x:c r="B7" s="10" t="str">
        <x:v>Lobia / cowpea, white, dry</x:v>
      </x:c>
      <x:c r="C7" s="7" t="n">
        <x:v>21.25</x:v>
      </x:c>
      <x:c r="D7" s="7" t="n">
        <x:f>ROUND('Sources and Notes'!G20+'Sources and Notes'!I20,2)</x:f>
        <x:v>65.47</x:v>
      </x:c>
      <x:c r="E7" s="7" t="n">
        <x:v>1.14</x:v>
      </x:c>
      <x:c r="F7" s="8" t="n">
        <x:f>ROUND('Sources and Notes'!J20/4.184,1)</x:f>
        <x:v>320.3</x:v>
      </x:c>
      <x:c r="G7" s="10"/>
      <x:c r="H7" s="9"/>
      <x:c r="I7" s="10"/>
      <x:c r="J7" s="9"/>
      <x:c r="K7" s="10"/>
      <x:c r="L7" s="9"/>
    </x:row>
    <x:row r="8" ht="30" customHeight="1">
      <x:c r="A8" s="11" t="n">
        <x:v>7</x:v>
      </x:c>
      <x:c r="B8" s="12" t="str">
        <x:v>Val / field bean, white, dry</x:v>
      </x:c>
      <x:c r="C8" s="13" t="n">
        <x:v>19.84</x:v>
      </x:c>
      <x:c r="D8" s="13" t="n">
        <x:f>ROUND('Sources and Notes'!G21+'Sources and Notes'!I21,2)</x:f>
        <x:v>67.52</x:v>
      </x:c>
      <x:c r="E8" s="13" t="n">
        <x:v>0.94</x:v>
      </x:c>
      <x:c r="F8" s="14" t="n">
        <x:f>ROUND('Sources and Notes'!J21/4.184,1)</x:f>
        <x:v>280.4</x:v>
      </x:c>
      <x:c r="G8" s="12"/>
      <x:c r="H8" s="15"/>
      <x:c r="I8" s="12"/>
      <x:c r="J8" s="15"/>
      <x:c r="K8" s="12"/>
      <x:c r="L8" s="15"/>
    </x:row>
    <x:row r="9" ht="30" customHeight="1">
      <x:c r="A9" s="2" t="n">
        <x:v>8</x:v>
      </x:c>
      <x:c r="B9" s="10" t="str">
        <x:v>Moong dal, dry</x:v>
      </x:c>
      <x:c r="C9" s="7" t="n">
        <x:v>23.88</x:v>
      </x:c>
      <x:c r="D9" s="7" t="n">
        <x:f>ROUND('Sources and Notes'!G22+'Sources and Notes'!I22,2)</x:f>
        <x:v>61.96</x:v>
      </x:c>
      <x:c r="E9" s="7" t="n">
        <x:v>1.35</x:v>
      </x:c>
      <x:c r="F9" s="8" t="n">
        <x:f>ROUND('Sources and Notes'!J22/4.184,1)</x:f>
        <x:v>325.8</x:v>
      </x:c>
      <x:c r="G9" s="10"/>
      <x:c r="H9" s="9"/>
      <x:c r="I9" s="10"/>
      <x:c r="J9" s="9"/>
      <x:c r="K9" s="10"/>
      <x:c r="L9" s="9"/>
    </x:row>
    <x:row r="10" ht="30" customHeight="1">
      <x:c r="A10" s="11" t="n">
        <x:v>9</x:v>
      </x:c>
      <x:c r="B10" s="12" t="str">
        <x:v>Whole green moong, dry</x:v>
      </x:c>
      <x:c r="C10" s="13" t="n">
        <x:v>22.53</x:v>
      </x:c>
      <x:c r="D10" s="13" t="n">
        <x:f>ROUND('Sources and Notes'!G23+'Sources and Notes'!I23,2)</x:f>
        <x:v>63.17</x:v>
      </x:c>
      <x:c r="E10" s="13" t="n">
        <x:v>1.14</x:v>
      </x:c>
      <x:c r="F10" s="14" t="n">
        <x:f>ROUND('Sources and Notes'!J23/4.184,1)</x:f>
        <x:v>293.7</x:v>
      </x:c>
      <x:c r="G10" s="12"/>
      <x:c r="H10" s="15"/>
      <x:c r="I10" s="12"/>
      <x:c r="J10" s="15"/>
      <x:c r="K10" s="12"/>
      <x:c r="L10" s="15"/>
    </x:row>
    <x:row r="11" ht="30" customHeight="1">
      <x:c r="A11" s="2" t="n">
        <x:v>10</x:v>
      </x:c>
      <x:c r="B11" s="10" t="str">
        <x:v>Kulthi / horse gram, dry</x:v>
      </x:c>
      <x:c r="C11" s="7" t="n">
        <x:v>21.73</x:v>
      </x:c>
      <x:c r="D11" s="7" t="n">
        <x:f>ROUND('Sources and Notes'!G24+'Sources and Notes'!I24,2)</x:f>
        <x:v>65.12</x:v>
      </x:c>
      <x:c r="E11" s="7" t="n">
        <x:v>0.62</x:v>
      </x:c>
      <x:c r="F11" s="8" t="n">
        <x:f>ROUND('Sources and Notes'!J24/4.184,1)</x:f>
        <x:v>329.6</x:v>
      </x:c>
      <x:c r="G11" s="10"/>
      <x:c r="H11" s="9"/>
      <x:c r="I11" s="10"/>
      <x:c r="J11" s="9"/>
      <x:c r="K11" s="10"/>
      <x:c r="L11" s="9"/>
    </x:row>
    <x:row r="12" ht="30" customHeight="1">
      <x:c r="A12" s="11" t="n">
        <x:v>11</x:v>
      </x:c>
      <x:c r="B12" s="12" t="str">
        <x:v>Masoor dal, dry</x:v>
      </x:c>
      <x:c r="C12" s="13" t="n">
        <x:v>24.35</x:v>
      </x:c>
      <x:c r="D12" s="13" t="n">
        <x:f>ROUND('Sources and Notes'!G25+'Sources and Notes'!I25,2)</x:f>
        <x:v>62.96</x:v>
      </x:c>
      <x:c r="E12" s="13" t="n">
        <x:v>0.75</x:v>
      </x:c>
      <x:c r="F12" s="14" t="n">
        <x:f>ROUND('Sources and Notes'!J25/4.184,1)</x:f>
        <x:v>322.4</x:v>
      </x:c>
      <x:c r="G12" s="12"/>
      <x:c r="H12" s="15"/>
      <x:c r="I12" s="12"/>
      <x:c r="J12" s="15"/>
      <x:c r="K12" s="12"/>
      <x:c r="L12" s="15"/>
    </x:row>
    <x:row r="13" ht="30" customHeight="1">
      <x:c r="A13" s="2" t="n">
        <x:v>12</x:v>
      </x:c>
      <x:c r="B13" s="10" t="str">
        <x:v>Whole brown masoor, dry</x:v>
      </x:c>
      <x:c r="C13" s="7" t="n">
        <x:v>22.49</x:v>
      </x:c>
      <x:c r="D13" s="7" t="n">
        <x:f>ROUND('Sources and Notes'!G26+'Sources and Notes'!I26,2)</x:f>
        <x:v>65.29</x:v>
      </x:c>
      <x:c r="E13" s="7" t="n">
        <x:v>0.64</x:v>
      </x:c>
      <x:c r="F13" s="8" t="n">
        <x:f>ROUND('Sources and Notes'!J26/4.184,1)</x:f>
        <x:v>299</x:v>
      </x:c>
      <x:c r="G13" s="10"/>
      <x:c r="H13" s="9"/>
      <x:c r="I13" s="10"/>
      <x:c r="J13" s="9"/>
      <x:c r="K13" s="10"/>
      <x:c r="L13" s="9"/>
    </x:row>
    <x:row r="14" ht="30" customHeight="1">
      <x:c r="A14" s="11" t="n">
        <x:v>13</x:v>
      </x:c>
      <x:c r="B14" s="12" t="str">
        <x:v>Matki / moth bean, dry</x:v>
      </x:c>
      <x:c r="C14" s="13" t="n">
        <x:v>19.75</x:v>
      </x:c>
      <x:c r="D14" s="13" t="n">
        <x:f>ROUND('Sources and Notes'!G27+'Sources and Notes'!I27,2)</x:f>
        <x:v>67.21</x:v>
      </x:c>
      <x:c r="E14" s="13" t="n">
        <x:v>1.76</x:v>
      </x:c>
      <x:c r="F14" s="14" t="n">
        <x:f>ROUND('Sources and Notes'!J27/4.184,1)</x:f>
        <x:v>308.6</x:v>
      </x:c>
      <x:c r="G14" s="12"/>
      <x:c r="H14" s="15"/>
      <x:c r="I14" s="12"/>
      <x:c r="J14" s="15"/>
      <x:c r="K14" s="12"/>
      <x:c r="L14" s="15"/>
    </x:row>
    <x:row r="15" ht="30" customHeight="1">
      <x:c r="A15" s="2" t="n">
        <x:v>14</x:v>
      </x:c>
      <x:c r="B15" s="10" t="str">
        <x:v>Dried peas / matar, dry</x:v>
      </x:c>
      <x:c r="C15" s="7" t="n">
        <x:v>20.43</x:v>
      </x:c>
      <x:c r="D15" s="7" t="n">
        <x:f>ROUND('Sources and Notes'!G28+'Sources and Notes'!I28,2)</x:f>
        <x:v>65.94</x:v>
      </x:c>
      <x:c r="E15" s="7" t="n">
        <x:v>1.89</x:v>
      </x:c>
      <x:c r="F15" s="8" t="n">
        <x:f>ROUND('Sources and Notes'!J28/4.184,1)</x:f>
        <x:v>303.3</x:v>
      </x:c>
      <x:c r="G15" s="10"/>
      <x:c r="H15" s="9"/>
      <x:c r="I15" s="10"/>
      <x:c r="J15" s="9"/>
      <x:c r="K15" s="10"/>
      <x:c r="L15" s="9"/>
    </x:row>
    <x:row r="16" ht="30" customHeight="1">
      <x:c r="A16" s="11" t="n">
        <x:v>15</x:v>
      </x:c>
      <x:c r="B16" s="12" t="str">
        <x:v>Rajma, black, dry</x:v>
      </x:c>
      <x:c r="C16" s="13" t="n">
        <x:v>19.01</x:v>
      </x:c>
      <x:c r="D16" s="13" t="n">
        <x:f>ROUND('Sources and Notes'!G29+'Sources and Notes'!I29,2)</x:f>
        <x:v>67.33</x:v>
      </x:c>
      <x:c r="E16" s="13" t="n">
        <x:v>1.62</x:v>
      </x:c>
      <x:c r="F16" s="14" t="n">
        <x:f>ROUND('Sources and Notes'!J29/4.184,1)</x:f>
        <x:v>298</x:v>
      </x:c>
      <x:c r="G16" s="12"/>
      <x:c r="H16" s="15"/>
      <x:c r="I16" s="12"/>
      <x:c r="J16" s="15"/>
      <x:c r="K16" s="12"/>
      <x:c r="L16" s="15"/>
    </x:row>
    <x:row r="17" ht="30" customHeight="1">
      <x:c r="A17" s="2" t="n">
        <x:v>16</x:v>
      </x:c>
      <x:c r="B17" s="10" t="str">
        <x:v>Rajma, brown, dry</x:v>
      </x:c>
      <x:c r="C17" s="7" t="n">
        <x:v>19.5</x:v>
      </x:c>
      <x:c r="D17" s="7" t="n">
        <x:f>ROUND('Sources and Notes'!G30+'Sources and Notes'!I30,2)</x:f>
        <x:v>65.78</x:v>
      </x:c>
      <x:c r="E17" s="7" t="n">
        <x:v>1.68</x:v>
      </x:c>
      <x:c r="F17" s="8" t="n">
        <x:f>ROUND('Sources and Notes'!J30/4.184,1)</x:f>
        <x:v>297.6</x:v>
      </x:c>
      <x:c r="G17" s="10"/>
      <x:c r="H17" s="9"/>
      <x:c r="I17" s="10"/>
      <x:c r="J17" s="9"/>
      <x:c r="K17" s="10"/>
      <x:c r="L17" s="9"/>
    </x:row>
    <x:row r="18" ht="30" customHeight="1">
      <x:c r="A18" s="11" t="n">
        <x:v>17</x:v>
      </x:c>
      <x:c r="B18" s="12" t="str">
        <x:v>Rajma, red, dry</x:v>
      </x:c>
      <x:c r="C18" s="13" t="n">
        <x:v>19.91</x:v>
      </x:c>
      <x:c r="D18" s="13" t="n">
        <x:f>ROUND('Sources and Notes'!G31+'Sources and Notes'!I31,2)</x:f>
        <x:v>65.18</x:v>
      </x:c>
      <x:c r="E18" s="13" t="n">
        <x:v>1.77</x:v>
      </x:c>
      <x:c r="F18" s="14" t="n">
        <x:f>ROUND('Sources and Notes'!J31/4.184,1)</x:f>
        <x:v>299.2</x:v>
      </x:c>
      <x:c r="G18" s="12"/>
      <x:c r="H18" s="15"/>
      <x:c r="I18" s="12"/>
      <x:c r="J18" s="15"/>
      <x:c r="K18" s="12"/>
      <x:c r="L18" s="15"/>
    </x:row>
    <x:row r="19" ht="30" customHeight="1">
      <x:c r="A19" s="2" t="n">
        <x:v>18</x:v>
      </x:c>
      <x:c r="B19" s="10" t="str">
        <x:v>Toor / arhar dal, dry</x:v>
      </x:c>
      <x:c r="C19" s="7" t="n">
        <x:v>21.7</x:v>
      </x:c>
      <x:c r="D19" s="7" t="n">
        <x:f>ROUND('Sources and Notes'!G32+'Sources and Notes'!I32,2)</x:f>
        <x:v>64.29</x:v>
      </x:c>
      <x:c r="E19" s="7" t="n">
        <x:v>1.56</x:v>
      </x:c>
      <x:c r="F19" s="8" t="n">
        <x:f>ROUND('Sources and Notes'!J32/4.184,1)</x:f>
        <x:v>330.8</x:v>
      </x:c>
      <x:c r="G19" s="10"/>
      <x:c r="H19" s="9"/>
      <x:c r="I19" s="10"/>
      <x:c r="J19" s="9"/>
      <x:c r="K19" s="10"/>
      <x:c r="L19" s="9"/>
    </x:row>
    <x:row r="20" ht="30" customHeight="1">
      <x:c r="A20" s="11" t="n">
        <x:v>19</x:v>
      </x:c>
      <x:c r="B20" s="12" t="str">
        <x:v>Whole pigeon peas / arhar, dry</x:v>
      </x:c>
      <x:c r="C20" s="13" t="n">
        <x:v>20.47</x:v>
      </x:c>
      <x:c r="D20" s="13" t="n">
        <x:f>ROUND('Sources and Notes'!G33+'Sources and Notes'!I33,2)</x:f>
        <x:v>65.32</x:v>
      </x:c>
      <x:c r="E20" s="13" t="n">
        <x:v>1.38</x:v>
      </x:c>
      <x:c r="F20" s="14" t="n">
        <x:f>ROUND('Sources and Notes'!J33/4.184,1)</x:f>
        <x:v>273.9</x:v>
      </x:c>
      <x:c r="G20" s="12"/>
      <x:c r="H20" s="15"/>
      <x:c r="I20" s="12"/>
      <x:c r="J20" s="15"/>
      <x:c r="K20" s="12"/>
      <x:c r="L20" s="15"/>
    </x:row>
    <x:row r="21" ht="30" customHeight="1">
      <x:c r="A21" s="2" t="n">
        <x:v>20</x:v>
      </x:c>
      <x:c r="B21" s="10" t="str">
        <x:v>Soybeans, white, dry</x:v>
      </x:c>
      <x:c r="C21" s="7" t="n">
        <x:v>37.8</x:v>
      </x:c>
      <x:c r="D21" s="7" t="n">
        <x:f>ROUND('Sources and Notes'!G34+'Sources and Notes'!I34,2)</x:f>
        <x:v>32.79</x:v>
      </x:c>
      <x:c r="E21" s="7" t="n">
        <x:v>19.42</x:v>
      </x:c>
      <x:c r="F21" s="8" t="n">
        <x:f>ROUND('Sources and Notes'!J34/4.184,1)</x:f>
        <x:v>377.4</x:v>
      </x:c>
      <x:c r="G21" s="10"/>
      <x:c r="H21" s="9"/>
      <x:c r="I21" s="10"/>
      <x:c r="J21" s="9"/>
      <x:c r="K21" s="10"/>
      <x:c r="L21" s="9"/>
    </x:row>
    <x:row r="22" ht="30" customHeight="1">
      <x:c r="A22" s="11" t="n">
        <x:v>21</x:v>
      </x:c>
      <x:c r="B22" s="12" t="str">
        <x:v>Almonds / badam, raw kernels</x:v>
      </x:c>
      <x:c r="C22" s="13" t="n">
        <x:v>18.41</x:v>
      </x:c>
      <x:c r="D22" s="13" t="n">
        <x:f>ROUND('Sources and Notes'!G35+'Sources and Notes'!I35,2)</x:f>
        <x:v>16.1</x:v>
      </x:c>
      <x:c r="E22" s="13" t="n">
        <x:v>58.49</x:v>
      </x:c>
      <x:c r="F22" s="14" t="n">
        <x:f>ROUND('Sources and Notes'!J35/4.184,1)</x:f>
        <x:v>609.2</x:v>
      </x:c>
      <x:c r="G22" s="12"/>
      <x:c r="H22" s="15"/>
      <x:c r="I22" s="12"/>
      <x:c r="J22" s="15"/>
      <x:c r="K22" s="12"/>
      <x:c r="L22" s="15"/>
    </x:row>
    <x:row r="23" ht="30" customHeight="1">
      <x:c r="A23" s="2" t="n">
        <x:v>22</x:v>
      </x:c>
      <x:c r="B23" s="10" t="str">
        <x:v>Cashews / kaju, raw kernels</x:v>
      </x:c>
      <x:c r="C23" s="7" t="n">
        <x:v>18.78</x:v>
      </x:c>
      <x:c r="D23" s="7" t="n">
        <x:f>ROUND('Sources and Notes'!G36+'Sources and Notes'!I36,2)</x:f>
        <x:v>29.32</x:v>
      </x:c>
      <x:c r="E23" s="7" t="n">
        <x:v>45.2</x:v>
      </x:c>
      <x:c r="F23" s="8" t="n">
        <x:f>ROUND('Sources and Notes'!J36/4.184,1)</x:f>
        <x:v>582.7</x:v>
      </x:c>
      <x:c r="G23" s="10"/>
      <x:c r="H23" s="9"/>
      <x:c r="I23" s="10"/>
      <x:c r="J23" s="9"/>
      <x:c r="K23" s="10"/>
      <x:c r="L23" s="9"/>
    </x:row>
    <x:row r="24" ht="30" customHeight="1">
      <x:c r="A24" s="11" t="n">
        <x:v>23</x:v>
      </x:c>
      <x:c r="B24" s="12" t="str">
        <x:v>Garden cress / halim seeds, dry</x:v>
      </x:c>
      <x:c r="C24" s="13" t="n">
        <x:v>23.36</x:v>
      </x:c>
      <x:c r="D24" s="13" t="n">
        <x:f>ROUND('Sources and Notes'!G37+'Sources and Notes'!I37,2)</x:f>
        <x:v>41.93</x:v>
      </x:c>
      <x:c r="E24" s="13" t="n">
        <x:v>23.74</x:v>
      </x:c>
      <x:c r="F24" s="14" t="n">
        <x:f>ROUND('Sources and Notes'!J37/4.184,1)</x:f>
        <x:v>445.3</x:v>
      </x:c>
      <x:c r="G24" s="12"/>
      <x:c r="H24" s="15"/>
      <x:c r="I24" s="12"/>
      <x:c r="J24" s="15"/>
      <x:c r="K24" s="12"/>
      <x:c r="L24" s="15"/>
    </x:row>
    <x:row r="25" ht="30" customHeight="1">
      <x:c r="A25" s="2" t="n">
        <x:v>24</x:v>
      </x:c>
      <x:c r="B25" s="10" t="str">
        <x:v>Black sesame / kala til, dry</x:v>
      </x:c>
      <x:c r="C25" s="7" t="n">
        <x:v>19.17</x:v>
      </x:c>
      <x:c r="D25" s="7" t="n">
        <x:f>ROUND('Sources and Notes'!G38+'Sources and Notes'!I38,2)</x:f>
        <x:v>27.45</x:v>
      </x:c>
      <x:c r="E25" s="7" t="n">
        <x:v>43.1</x:v>
      </x:c>
      <x:c r="F25" s="8" t="n">
        <x:f>ROUND('Sources and Notes'!J38/4.184,1)</x:f>
        <x:v>507.6</x:v>
      </x:c>
      <x:c r="G25" s="10"/>
      <x:c r="H25" s="9"/>
      <x:c r="I25" s="10"/>
      <x:c r="J25" s="9"/>
      <x:c r="K25" s="10"/>
      <x:c r="L25" s="9"/>
    </x:row>
    <x:row r="26" ht="30" customHeight="1">
      <x:c r="A26" s="11" t="n">
        <x:v>25</x:v>
      </x:c>
      <x:c r="B26" s="12" t="str">
        <x:v>White sesame / safed til, dry</x:v>
      </x:c>
      <x:c r="C26" s="13" t="n">
        <x:v>21.7</x:v>
      </x:c>
      <x:c r="D26" s="13" t="n">
        <x:f>ROUND('Sources and Notes'!G39+'Sources and Notes'!I39,2)</x:f>
        <x:v>27.82</x:v>
      </x:c>
      <x:c r="E26" s="13" t="n">
        <x:v>43.05</x:v>
      </x:c>
      <x:c r="F26" s="14" t="n">
        <x:f>ROUND('Sources and Notes'!J39/4.184,1)</x:f>
        <x:v>519.6</x:v>
      </x:c>
      <x:c r="G26" s="12"/>
      <x:c r="H26" s="15"/>
      <x:c r="I26" s="12"/>
      <x:c r="J26" s="15"/>
      <x:c r="K26" s="12"/>
      <x:c r="L26" s="15"/>
    </x:row>
    <x:row r="27" ht="30" customHeight="1">
      <x:c r="A27" s="2" t="n">
        <x:v>26</x:v>
      </x:c>
      <x:c r="B27" s="10" t="str">
        <x:v>Peanuts / groundnuts, raw kernels</x:v>
      </x:c>
      <x:c r="C27" s="7" t="n">
        <x:v>23.65</x:v>
      </x:c>
      <x:c r="D27" s="7" t="n">
        <x:f>ROUND('Sources and Notes'!G40+'Sources and Notes'!I40,2)</x:f>
        <x:v>27.65</x:v>
      </x:c>
      <x:c r="E27" s="7" t="n">
        <x:v>39.63</x:v>
      </x:c>
      <x:c r="F27" s="8" t="n">
        <x:f>ROUND('Sources and Notes'!J40/4.184,1)</x:f>
        <x:v>520.1</x:v>
      </x:c>
      <x:c r="G27" s="10"/>
      <x:c r="H27" s="9"/>
      <x:c r="I27" s="10"/>
      <x:c r="J27" s="9"/>
      <x:c r="K27" s="10"/>
      <x:c r="L27" s="9"/>
    </x:row>
    <x:row r="28" ht="30" customHeight="1">
      <x:c r="A28" s="11" t="n">
        <x:v>27</x:v>
      </x:c>
      <x:c r="B28" s="12" t="str">
        <x:v>Flax seeds / alsi, dry</x:v>
      </x:c>
      <x:c r="C28" s="13" t="n">
        <x:v>18.55</x:v>
      </x:c>
      <x:c r="D28" s="13" t="n">
        <x:f>ROUND('Sources and Notes'!G41+'Sources and Notes'!I41,2)</x:f>
        <x:v>37.16</x:v>
      </x:c>
      <x:c r="E28" s="13" t="n">
        <x:v>35.67</x:v>
      </x:c>
      <x:c r="F28" s="14" t="n">
        <x:f>ROUND('Sources and Notes'!J41/4.184,1)</x:f>
        <x:v>443.8</x:v>
      </x:c>
      <x:c r="G28" s="12"/>
      <x:c r="H28" s="15"/>
      <x:c r="I28" s="12"/>
      <x:c r="J28" s="15"/>
      <x:c r="K28" s="12"/>
      <x:c r="L28" s="15"/>
    </x:row>
    <x:row r="29" ht="30" customHeight="1">
      <x:c r="A29" s="2" t="n">
        <x:v>28</x:v>
      </x:c>
      <x:c r="B29" s="10" t="str">
        <x:v>Pistachios / pista, raw kernels</x:v>
      </x:c>
      <x:c r="C29" s="7" t="n">
        <x:v>23.35</x:v>
      </x:c>
      <x:c r="D29" s="7" t="n">
        <x:f>ROUND('Sources and Notes'!G42+'Sources and Notes'!I42,2)</x:f>
        <x:v>26.46</x:v>
      </x:c>
      <x:c r="E29" s="7" t="n">
        <x:v>42.49</x:v>
      </x:c>
      <x:c r="F29" s="8" t="n">
        <x:f>ROUND('Sources and Notes'!J42/4.184,1)</x:f>
        <x:v>539.4</x:v>
      </x:c>
      <x:c r="G29" s="10"/>
      <x:c r="H29" s="9"/>
      <x:c r="I29" s="10"/>
      <x:c r="J29" s="9"/>
      <x:c r="K29" s="10"/>
      <x:c r="L29" s="9"/>
    </x:row>
    <x:row r="30" ht="30" customHeight="1">
      <x:c r="A30" s="11" t="n">
        <x:v>29</x:v>
      </x:c>
      <x:c r="B30" s="12" t="str">
        <x:v>Sunflower seeds, dry kernels</x:v>
      </x:c>
      <x:c r="C30" s="13" t="n">
        <x:v>23.53</x:v>
      </x:c>
      <x:c r="D30" s="13" t="n">
        <x:f>ROUND('Sources and Notes'!G43+'Sources and Notes'!I43,2)</x:f>
        <x:v>17.65</x:v>
      </x:c>
      <x:c r="E30" s="13" t="n">
        <x:v>51.85</x:v>
      </x:c>
      <x:c r="F30" s="14" t="n">
        <x:f>ROUND('Sources and Notes'!J43/4.184,1)</x:f>
        <x:v>586.3</x:v>
      </x:c>
      <x:c r="G30" s="12"/>
      <x:c r="H30" s="15"/>
      <x:c r="I30" s="12"/>
      <x:c r="J30" s="15"/>
      <x:c r="K30" s="12"/>
      <x:c r="L30" s="15"/>
    </x:row>
    <x:row r="31" ht="30" customHeight="1">
      <x:c r="A31" s="2" t="n">
        <x:v>30</x:v>
      </x:c>
      <x:c r="B31" s="10" t="str">
        <x:v>Walnuts / akhrot, raw kernels</x:v>
      </x:c>
      <x:c r="C31" s="7" t="n">
        <x:v>14.92</x:v>
      </x:c>
      <x:c r="D31" s="7" t="n">
        <x:f>ROUND('Sources and Notes'!G44+'Sources and Notes'!I44,2)</x:f>
        <x:v>15.53</x:v>
      </x:c>
      <x:c r="E31" s="7" t="n">
        <x:v>64.27</x:v>
      </x:c>
      <x:c r="F31" s="8" t="n">
        <x:f>ROUND('Sources and Notes'!J44/4.184,1)</x:f>
        <x:v>671.4</x:v>
      </x:c>
      <x:c r="G31" s="10"/>
      <x:c r="H31" s="9"/>
      <x:c r="I31" s="10"/>
      <x:c r="J31" s="9"/>
      <x:c r="K31" s="10"/>
      <x:c r="L31" s="9"/>
    </x:row>
    <x:row r="32" ht="30" customHeight="1">
      <x:c r="A32" s="11" t="n">
        <x:v>31</x:v>
      </x:c>
      <x:c r="B32" s="12" t="str">
        <x:v>Amaranth / rajgira, pale brown grain, dry</x:v>
      </x:c>
      <x:c r="C32" s="13" t="n">
        <x:v>13.27</x:v>
      </x:c>
      <x:c r="D32" s="13" t="n">
        <x:f>ROUND('Sources and Notes'!G45+'Sources and Notes'!I45,2)</x:f>
        <x:v>68.93</x:v>
      </x:c>
      <x:c r="E32" s="13" t="n">
        <x:v>5.56</x:v>
      </x:c>
      <x:c r="F32" s="14" t="n">
        <x:f>ROUND('Sources and Notes'!J45/4.184,1)</x:f>
        <x:v>355.9</x:v>
      </x:c>
      <x:c r="G32" s="12"/>
      <x:c r="H32" s="15"/>
      <x:c r="I32" s="12"/>
      <x:c r="J32" s="15"/>
      <x:c r="K32" s="12"/>
      <x:c r="L32" s="15"/>
    </x:row>
    <x:row r="33" ht="30" customHeight="1">
      <x:c r="A33" s="2" t="n">
        <x:v>32</x:v>
      </x:c>
      <x:c r="B33" s="10" t="str">
        <x:v>Bajra / pearl millet, grain, dry</x:v>
      </x:c>
      <x:c r="C33" s="7" t="n">
        <x:v>10.96</x:v>
      </x:c>
      <x:c r="D33" s="7" t="n">
        <x:f>ROUND('Sources and Notes'!G46+'Sources and Notes'!I46,2)</x:f>
        <x:v>73.27</x:v>
      </x:c>
      <x:c r="E33" s="7" t="n">
        <x:v>5.43</x:v>
      </x:c>
      <x:c r="F33" s="8" t="n">
        <x:f>ROUND('Sources and Notes'!J46/4.184,1)</x:f>
        <x:v>348</x:v>
      </x:c>
      <x:c r="G33" s="10"/>
      <x:c r="H33" s="9"/>
      <x:c r="I33" s="10"/>
      <x:c r="J33" s="9"/>
      <x:c r="K33" s="10"/>
      <x:c r="L33" s="9"/>
    </x:row>
    <x:row r="34" ht="30" customHeight="1">
      <x:c r="A34" s="11" t="n">
        <x:v>33</x:v>
      </x:c>
      <x:c r="B34" s="12" t="str">
        <x:v>Barley / jau, grain, dry</x:v>
      </x:c>
      <x:c r="C34" s="13" t="n">
        <x:v>10.94</x:v>
      </x:c>
      <x:c r="D34" s="13" t="n">
        <x:f>ROUND('Sources and Notes'!G47+'Sources and Notes'!I47,2)</x:f>
        <x:v>76.93</x:v>
      </x:c>
      <x:c r="E34" s="13" t="n">
        <x:v>1.3</x:v>
      </x:c>
      <x:c r="F34" s="14" t="n">
        <x:f>ROUND('Sources and Notes'!J47/4.184,1)</x:f>
        <x:v>315.7</x:v>
      </x:c>
      <x:c r="G34" s="12"/>
      <x:c r="H34" s="15"/>
      <x:c r="I34" s="12"/>
      <x:c r="J34" s="15"/>
      <x:c r="K34" s="12"/>
      <x:c r="L34" s="15"/>
    </x:row>
    <x:row r="35" ht="30" customHeight="1">
      <x:c r="A35" s="2" t="n">
        <x:v>34</x:v>
      </x:c>
      <x:c r="B35" s="10" t="str">
        <x:v>Jowar / sorghum, grain, dry</x:v>
      </x:c>
      <x:c r="C35" s="7" t="n">
        <x:v>9.97</x:v>
      </x:c>
      <x:c r="D35" s="7" t="n">
        <x:f>ROUND('Sources and Notes'!G48+'Sources and Notes'!I48,2)</x:f>
        <x:v>77.9</x:v>
      </x:c>
      <x:c r="E35" s="7" t="n">
        <x:v>1.73</x:v>
      </x:c>
      <x:c r="F35" s="8" t="n">
        <x:f>ROUND('Sources and Notes'!J48/4.184,1)</x:f>
        <x:v>334.1</x:v>
      </x:c>
      <x:c r="G35" s="10"/>
      <x:c r="H35" s="9"/>
      <x:c r="I35" s="10"/>
      <x:c r="J35" s="9"/>
      <x:c r="K35" s="10"/>
      <x:c r="L35" s="9"/>
    </x:row>
    <x:row r="36" ht="30" customHeight="1">
      <x:c r="A36" s="11" t="n">
        <x:v>35</x:v>
      </x:c>
      <x:c r="B36" s="12" t="str">
        <x:v>Quinoa, grain, dry</x:v>
      </x:c>
      <x:c r="C36" s="13" t="n">
        <x:v>13.11</x:v>
      </x:c>
      <x:c r="D36" s="13" t="n">
        <x:f>ROUND('Sources and Notes'!G49+'Sources and Notes'!I49,2)</x:f>
        <x:v>68.31</x:v>
      </x:c>
      <x:c r="E36" s="13" t="n">
        <x:v>5.5</x:v>
      </x:c>
      <x:c r="F36" s="14" t="n">
        <x:f>ROUND('Sources and Notes'!J49/4.184,1)</x:f>
        <x:v>328.4</x:v>
      </x:c>
      <x:c r="G36" s="12"/>
      <x:c r="H36" s="15"/>
      <x:c r="I36" s="12"/>
      <x:c r="J36" s="15"/>
      <x:c r="K36" s="12"/>
      <x:c r="L36" s="15"/>
    </x:row>
    <x:row r="37" ht="30" customHeight="1">
      <x:c r="A37" s="2" t="n">
        <x:v>36</x:v>
      </x:c>
      <x:c r="B37" s="10" t="str">
        <x:v>Ragi / finger millet, grain, dry</x:v>
      </x:c>
      <x:c r="C37" s="7" t="n">
        <x:v>7.16</x:v>
      </x:c>
      <x:c r="D37" s="7" t="n">
        <x:f>ROUND('Sources and Notes'!G50+'Sources and Notes'!I50,2)</x:f>
        <x:v>78</x:v>
      </x:c>
      <x:c r="E37" s="7" t="n">
        <x:v>1.92</x:v>
      </x:c>
      <x:c r="F37" s="8" t="n">
        <x:f>ROUND('Sources and Notes'!J50/4.184,1)</x:f>
        <x:v>320.7</x:v>
      </x:c>
      <x:c r="G37" s="10"/>
      <x:c r="H37" s="9"/>
      <x:c r="I37" s="10"/>
      <x:c r="J37" s="9"/>
      <x:c r="K37" s="10"/>
      <x:c r="L37" s="9"/>
    </x:row>
    <x:row r="38" ht="30" customHeight="1">
      <x:c r="A38" s="11" t="n">
        <x:v>37</x:v>
      </x:c>
      <x:c r="B38" s="12" t="str">
        <x:v>Little millet / samai, grain, dry</x:v>
      </x:c>
      <x:c r="C38" s="13" t="n">
        <x:v>10.13</x:v>
      </x:c>
      <x:c r="D38" s="13" t="n">
        <x:f>ROUND('Sources and Notes'!G51+'Sources and Notes'!I51,2)</x:f>
        <x:v>73.27</x:v>
      </x:c>
      <x:c r="E38" s="13" t="n">
        <x:v>3.89</x:v>
      </x:c>
      <x:c r="F38" s="14" t="n">
        <x:f>ROUND('Sources and Notes'!J51/4.184,1)</x:f>
        <x:v>346.3</x:v>
      </x:c>
      <x:c r="G38" s="12"/>
      <x:c r="H38" s="15"/>
      <x:c r="I38" s="12"/>
      <x:c r="J38" s="15"/>
      <x:c r="K38" s="12"/>
      <x:c r="L38" s="15"/>
    </x:row>
    <x:row r="39" ht="30" customHeight="1">
      <x:c r="A39" s="2" t="n">
        <x:v>38</x:v>
      </x:c>
      <x:c r="B39" s="10" t="str">
        <x:v>Whole wheat atta, dry</x:v>
      </x:c>
      <x:c r="C39" s="7" t="n">
        <x:v>10.57</x:v>
      </x:c>
      <x:c r="D39" s="7" t="n">
        <x:f>ROUND('Sources and Notes'!G52+'Sources and Notes'!I52,2)</x:f>
        <x:v>75.53</x:v>
      </x:c>
      <x:c r="E39" s="7" t="n">
        <x:v>1.53</x:v>
      </x:c>
      <x:c r="F39" s="8" t="n">
        <x:f>ROUND('Sources and Notes'!J52/4.184,1)</x:f>
        <x:v>320.3</x:v>
      </x:c>
      <x:c r="G39" s="10"/>
      <x:c r="H39" s="9"/>
      <x:c r="I39" s="10"/>
      <x:c r="J39" s="9"/>
      <x:c r="K39" s="10"/>
      <x:c r="L39" s="9"/>
    </x:row>
    <x:row r="40" ht="30" customHeight="1">
      <x:c r="A40" s="11" t="n">
        <x:v>39</x:v>
      </x:c>
      <x:c r="B40" s="12" t="str">
        <x:v>Daliya / bulgur wheat, dry</x:v>
      </x:c>
      <x:c r="C40" s="13" t="n">
        <x:v>10.84</x:v>
      </x:c>
      <x:c r="D40" s="13" t="n">
        <x:f>ROUND('Sources and Notes'!G53+'Sources and Notes'!I53,2)</x:f>
        <x:v>77.87</x:v>
      </x:c>
      <x:c r="E40" s="13" t="n">
        <x:v>1.45</x:v>
      </x:c>
      <x:c r="F40" s="14" t="n">
        <x:f>ROUND('Sources and Notes'!J53/4.184,1)</x:f>
        <x:v>341.8</x:v>
      </x:c>
      <x:c r="G40" s="12"/>
      <x:c r="H40" s="15"/>
      <x:c r="I40" s="12"/>
      <x:c r="J40" s="15"/>
      <x:c r="K40" s="12"/>
      <x:c r="L40" s="15"/>
    </x:row>
    <x:row r="41" ht="30" customHeight="1">
      <x:c r="A41" s="2" t="n">
        <x:v>40</x:v>
      </x:c>
      <x:c r="B41" s="10" t="str">
        <x:v>Sooji / semolina, dry</x:v>
      </x:c>
      <x:c r="C41" s="7" t="n">
        <x:v>11.38</x:v>
      </x:c>
      <x:c r="D41" s="7" t="n">
        <x:f>ROUND('Sources and Notes'!G54+'Sources and Notes'!I54,2)</x:f>
        <x:v>78.15</x:v>
      </x:c>
      <x:c r="E41" s="7" t="n">
        <x:v>0.74</x:v>
      </x:c>
      <x:c r="F41" s="8" t="n">
        <x:f>ROUND('Sources and Notes'!J54/4.184,1)</x:f>
        <x:v>333.7</x:v>
      </x:c>
      <x:c r="G41" s="10"/>
      <x:c r="H41" s="9"/>
      <x:c r="I41" s="10"/>
      <x:c r="J41" s="9"/>
      <x:c r="K41" s="10"/>
      <x:c r="L41" s="9"/>
    </x:row>
    <x:row r="42" ht="30" customHeight="1">
      <x:c r="A42" s="11" t="n">
        <x:v>41</x:v>
      </x:c>
      <x:c r="B42" s="12" t="str">
        <x:v>Buffalo milk, whole</x:v>
      </x:c>
      <x:c r="C42" s="13" t="n">
        <x:v>3.68</x:v>
      </x:c>
      <x:c r="D42" s="13" t="n">
        <x:f>ROUND('Sources and Notes'!G55+'Sources and Notes'!I55,2)</x:f>
        <x:v>8.39</x:v>
      </x:c>
      <x:c r="E42" s="13" t="n">
        <x:v>6.58</x:v>
      </x:c>
      <x:c r="F42" s="14" t="n">
        <x:f>ROUND('Sources and Notes'!J55/4.184,1)</x:f>
        <x:v>107.3</x:v>
      </x:c>
      <x:c r="G42" s="12"/>
      <x:c r="H42" s="15"/>
      <x:c r="I42" s="12"/>
      <x:c r="J42" s="15"/>
      <x:c r="K42" s="12"/>
      <x:c r="L42" s="15"/>
    </x:row>
    <x:row r="43" ht="30" customHeight="1">
      <x:c r="A43" s="2" t="n">
        <x:v>42</x:v>
      </x:c>
      <x:c r="B43" s="10" t="str">
        <x:v>Cow milk, whole</x:v>
      </x:c>
      <x:c r="C43" s="7" t="n">
        <x:v>3.26</x:v>
      </x:c>
      <x:c r="D43" s="7" t="n">
        <x:f>ROUND('Sources and Notes'!G56+'Sources and Notes'!I56,2)</x:f>
        <x:v>4.94</x:v>
      </x:c>
      <x:c r="E43" s="7" t="n">
        <x:v>4.48</x:v>
      </x:c>
      <x:c r="F43" s="8" t="n">
        <x:f>ROUND('Sources and Notes'!J56/4.184,1)</x:f>
        <x:v>72.9</x:v>
      </x:c>
      <x:c r="G43" s="10"/>
      <x:c r="H43" s="9"/>
      <x:c r="I43" s="10"/>
      <x:c r="J43" s="9"/>
      <x:c r="K43" s="10"/>
      <x:c r="L43" s="9"/>
    </x:row>
    <x:row r="44" ht="30" customHeight="1">
      <x:c r="A44" s="11" t="n">
        <x:v>43</x:v>
      </x:c>
      <x:c r="B44" s="12" t="str">
        <x:v>Paneer, plain</x:v>
      </x:c>
      <x:c r="C44" s="13" t="n">
        <x:v>18.86</x:v>
      </x:c>
      <x:c r="D44" s="13" t="n">
        <x:f>ROUND('Sources and Notes'!G57+'Sources and Notes'!I57,2)</x:f>
        <x:v>2.41</x:v>
      </x:c>
      <x:c r="E44" s="13" t="n">
        <x:v>24.78</x:v>
      </x:c>
      <x:c r="F44" s="14" t="n">
        <x:f>ROUND('Sources and Notes'!J57/4.184,1)</x:f>
        <x:v>305.4</x:v>
      </x:c>
      <x:c r="G44" s="12"/>
      <x:c r="H44" s="15"/>
      <x:c r="I44" s="12"/>
      <x:c r="J44" s="15"/>
      <x:c r="K44" s="12"/>
      <x:c r="L44" s="15"/>
    </x:row>
    <x:row r="45" ht="30" customHeight="1">
      <x:c r="A45" s="2" t="n">
        <x:v>44</x:v>
      </x:c>
      <x:c r="B45" s="10" t="str">
        <x:v>Khoya / khoa, unsweetened</x:v>
      </x:c>
      <x:c r="C45" s="7" t="n">
        <x:v>16.34</x:v>
      </x:c>
      <x:c r="D45" s="7" t="n">
        <x:f>ROUND('Sources and Notes'!G58+'Sources and Notes'!I58,2)</x:f>
        <x:v>16.53</x:v>
      </x:c>
      <x:c r="E45" s="7" t="n">
        <x:v>20.62</x:v>
      </x:c>
      <x:c r="F45" s="8" t="n">
        <x:f>ROUND('Sources and Notes'!J58/4.184,1)</x:f>
        <x:v>316</x:v>
      </x:c>
      <x:c r="G45" s="10"/>
      <x:c r="H45" s="9"/>
      <x:c r="I45" s="10"/>
      <x:c r="J45" s="9"/>
      <x:c r="K45" s="10"/>
      <x:c r="L45" s="9"/>
    </x:row>
    <x:row r="46" ht="30" customHeight="1">
      <x:c r="A46" s="11" t="n">
        <x:v>45</x:v>
      </x:c>
      <x:c r="B46" s="12" t="str">
        <x:v>Green peas / matar, fresh, raw</x:v>
      </x:c>
      <x:c r="C46" s="13" t="n">
        <x:v>7.25</x:v>
      </x:c>
      <x:c r="D46" s="13" t="n">
        <x:f>ROUND('Sources and Notes'!G59+'Sources and Notes'!I59,2)</x:f>
        <x:v>18.2</x:v>
      </x:c>
      <x:c r="E46" s="13" t="n">
        <x:v>0.13</x:v>
      </x:c>
      <x:c r="F46" s="14" t="n">
        <x:f>ROUND('Sources and Notes'!J59/4.184,1)</x:f>
        <x:v>81.3</x:v>
      </x:c>
      <x:c r="G46" s="12"/>
      <x:c r="H46" s="15"/>
      <x:c r="I46" s="12"/>
      <x:c r="J46" s="15"/>
      <x:c r="K46" s="12"/>
      <x:c r="L46" s="15"/>
    </x:row>
    <x:row r="47" ht="30" customHeight="1">
      <x:c r="A47" s="2" t="n">
        <x:v>46</x:v>
      </x:c>
      <x:c r="B47" s="10" t="str">
        <x:v>Curd / plain whole-milk yogurt</x:v>
      </x:c>
      <x:c r="C47" s="7" t="n">
        <x:v>3.47</x:v>
      </x:c>
      <x:c r="D47" s="7" t="n">
        <x:v>4.66</x:v>
      </x:c>
      <x:c r="E47" s="7" t="n">
        <x:v>3.25</x:v>
      </x:c>
      <x:c r="F47" s="8" t="n">
        <x:v>61</x:v>
      </x:c>
      <x:c r="G47" s="10" t="str">
        <x:v>1 container (6 oz)</x:v>
      </x:c>
      <x:c r="H47" s="9" t="n">
        <x:v>170</x:v>
      </x:c>
      <x:c r="I47" s="10" t="str">
        <x:v>1 container (8 oz)</x:v>
      </x:c>
      <x:c r="J47" s="9" t="n">
        <x:v>227</x:v>
      </x:c>
      <x:c r="K47" s="10" t="str">
        <x:v>0.5 container (4 oz)</x:v>
      </x:c>
      <x:c r="L47" s="9" t="n">
        <x:v>113</x:v>
      </x:c>
    </x:row>
    <x:row r="48" ht="30" customHeight="1">
      <x:c r="A48" s="11" t="n">
        <x:v>47</x:v>
      </x:c>
      <x:c r="B48" s="12" t="str">
        <x:v>Plain low-fat yogurt</x:v>
      </x:c>
      <x:c r="C48" s="13" t="n">
        <x:v>5.25</x:v>
      </x:c>
      <x:c r="D48" s="13" t="n">
        <x:v>7.04</x:v>
      </x:c>
      <x:c r="E48" s="13" t="n">
        <x:v>1.55</x:v>
      </x:c>
      <x:c r="F48" s="14" t="n">
        <x:v>63</x:v>
      </x:c>
      <x:c r="G48" s="12" t="str">
        <x:v>1 container (6 oz)</x:v>
      </x:c>
      <x:c r="H48" s="15" t="n">
        <x:v>170</x:v>
      </x:c>
      <x:c r="I48" s="12" t="str">
        <x:v>1 container (8 oz)</x:v>
      </x:c>
      <x:c r="J48" s="15" t="n">
        <x:v>227</x:v>
      </x:c>
      <x:c r="K48" s="12" t="str">
        <x:v>0.5 container (4 oz)</x:v>
      </x:c>
      <x:c r="L48" s="15" t="n">
        <x:v>113</x:v>
      </x:c>
    </x:row>
    <x:row r="49" ht="30" customHeight="1">
      <x:c r="A49" s="2" t="n">
        <x:v>48</x:v>
      </x:c>
      <x:c r="B49" s="10" t="str">
        <x:v>Plain skim-milk yogurt</x:v>
      </x:c>
      <x:c r="C49" s="7" t="n">
        <x:v>5.73</x:v>
      </x:c>
      <x:c r="D49" s="7" t="n">
        <x:v>7.68</x:v>
      </x:c>
      <x:c r="E49" s="7" t="n">
        <x:v>0.18</x:v>
      </x:c>
      <x:c r="F49" s="8" t="n">
        <x:v>56</x:v>
      </x:c>
      <x:c r="G49" s="10" t="str">
        <x:v>1 container (6 oz)</x:v>
      </x:c>
      <x:c r="H49" s="9" t="n">
        <x:v>170</x:v>
      </x:c>
      <x:c r="I49" s="10" t="str">
        <x:v>1 container (8 oz)</x:v>
      </x:c>
      <x:c r="J49" s="9" t="n">
        <x:v>227</x:v>
      </x:c>
      <x:c r="K49" s="10" t="str">
        <x:v>1 cup (8 fl oz)</x:v>
      </x:c>
      <x:c r="L49" s="9" t="n">
        <x:v>245</x:v>
      </x:c>
    </x:row>
    <x:row r="50" ht="30" customHeight="1">
      <x:c r="A50" s="11" t="n">
        <x:v>49</x:v>
      </x:c>
      <x:c r="B50" s="12" t="str">
        <x:v>Greek yogurt, plain, nonfat</x:v>
      </x:c>
      <x:c r="C50" s="13" t="n">
        <x:v>10.19</x:v>
      </x:c>
      <x:c r="D50" s="13" t="n">
        <x:v>3.6</x:v>
      </x:c>
      <x:c r="E50" s="13" t="n">
        <x:v>0.39</x:v>
      </x:c>
      <x:c r="F50" s="14" t="n">
        <x:v>59</x:v>
      </x:c>
      <x:c r="G50" s="12" t="str">
        <x:v>1 container</x:v>
      </x:c>
      <x:c r="H50" s="15" t="n">
        <x:v>170</x:v>
      </x:c>
      <x:c r="I50" s="12"/>
      <x:c r="J50" s="15"/>
      <x:c r="K50" s="12"/>
      <x:c r="L50" s="15"/>
    </x:row>
    <x:row r="51" ht="30" customHeight="1">
      <x:c r="A51" s="2" t="n">
        <x:v>50</x:v>
      </x:c>
      <x:c r="B51" s="10" t="str">
        <x:v>Skim milk, fluid</x:v>
      </x:c>
      <x:c r="C51" s="7" t="n">
        <x:v>3.37</x:v>
      </x:c>
      <x:c r="D51" s="7" t="n">
        <x:v>4.96</x:v>
      </x:c>
      <x:c r="E51" s="7" t="n">
        <x:v>0.08</x:v>
      </x:c>
      <x:c r="F51" s="8" t="n">
        <x:v>34</x:v>
      </x:c>
      <x:c r="G51" s="10" t="str">
        <x:v>1 cup</x:v>
      </x:c>
      <x:c r="H51" s="9" t="n">
        <x:v>245</x:v>
      </x:c>
      <x:c r="I51" s="10" t="str">
        <x:v>1 fl oz</x:v>
      </x:c>
      <x:c r="J51" s="9" t="n">
        <x:v>30.6</x:v>
      </x:c>
      <x:c r="K51" s="10"/>
      <x:c r="L51" s="9"/>
    </x:row>
    <x:row r="52" ht="30" customHeight="1">
      <x:c r="A52" s="11" t="n">
        <x:v>51</x:v>
      </x:c>
      <x:c r="B52" s="12" t="str">
        <x:v>Cheddar cheese</x:v>
      </x:c>
      <x:c r="C52" s="13" t="n">
        <x:v>22.87</x:v>
      </x:c>
      <x:c r="D52" s="13" t="n">
        <x:v>3.09</x:v>
      </x:c>
      <x:c r="E52" s="13" t="n">
        <x:v>33.31</x:v>
      </x:c>
      <x:c r="F52" s="14" t="n">
        <x:v>404</x:v>
      </x:c>
      <x:c r="G52" s="12" t="str">
        <x:v>1 cup, diced</x:v>
      </x:c>
      <x:c r="H52" s="15" t="n">
        <x:v>132</x:v>
      </x:c>
      <x:c r="I52" s="12" t="str">
        <x:v>1 cup, melted</x:v>
      </x:c>
      <x:c r="J52" s="15" t="n">
        <x:v>244</x:v>
      </x:c>
      <x:c r="K52" s="12" t="str">
        <x:v>1 cup, shredded</x:v>
      </x:c>
      <x:c r="L52" s="15" t="n">
        <x:v>113</x:v>
      </x:c>
    </x:row>
    <x:row r="53" ht="30" customHeight="1">
      <x:c r="A53" s="2" t="n">
        <x:v>52</x:v>
      </x:c>
      <x:c r="B53" s="10" t="str">
        <x:v>Mozzarella cheese, whole milk</x:v>
      </x:c>
      <x:c r="C53" s="7" t="n">
        <x:v>22.17</x:v>
      </x:c>
      <x:c r="D53" s="7" t="n">
        <x:v>2.19</x:v>
      </x:c>
      <x:c r="E53" s="7" t="n">
        <x:v>22.35</x:v>
      </x:c>
      <x:c r="F53" s="8" t="n">
        <x:v>300</x:v>
      </x:c>
      <x:c r="G53" s="10" t="str">
        <x:v>1 cup, shredded</x:v>
      </x:c>
      <x:c r="H53" s="9" t="n">
        <x:v>112</x:v>
      </x:c>
      <x:c r="I53" s="10" t="str">
        <x:v>6 slices</x:v>
      </x:c>
      <x:c r="J53" s="9" t="n">
        <x:v>170</x:v>
      </x:c>
      <x:c r="K53" s="10"/>
      <x:c r="L53" s="9"/>
    </x:row>
    <x:row r="54" ht="30" customHeight="1">
      <x:c r="A54" s="11" t="n">
        <x:v>53</x:v>
      </x:c>
      <x:c r="B54" s="12" t="str">
        <x:v>Mozzarella cheese, part skim</x:v>
      </x:c>
      <x:c r="C54" s="13" t="n">
        <x:v>24.26</x:v>
      </x:c>
      <x:c r="D54" s="13" t="n">
        <x:v>2.77</x:v>
      </x:c>
      <x:c r="E54" s="13" t="n">
        <x:v>15.92</x:v>
      </x:c>
      <x:c r="F54" s="14" t="n">
        <x:v>254</x:v>
      </x:c>
      <x:c r="G54" s="12"/>
      <x:c r="H54" s="15"/>
      <x:c r="I54" s="12"/>
      <x:c r="J54" s="15"/>
      <x:c r="K54" s="12"/>
      <x:c r="L54" s="15"/>
    </x:row>
    <x:row r="55" ht="30" customHeight="1">
      <x:c r="A55" s="2" t="n">
        <x:v>54</x:v>
      </x:c>
      <x:c r="B55" s="10" t="str">
        <x:v>Skim milk powder, regular</x:v>
      </x:c>
      <x:c r="C55" s="7" t="n">
        <x:v>36.16</x:v>
      </x:c>
      <x:c r="D55" s="7" t="n">
        <x:v>51.98</x:v>
      </x:c>
      <x:c r="E55" s="7" t="n">
        <x:v>0.77</x:v>
      </x:c>
      <x:c r="F55" s="8" t="n">
        <x:v>362</x:v>
      </x:c>
      <x:c r="G55" s="10" t="str">
        <x:v>0.25 cup</x:v>
      </x:c>
      <x:c r="H55" s="9" t="n">
        <x:v>30</x:v>
      </x:c>
      <x:c r="I55" s="10" t="str">
        <x:v>1 cup</x:v>
      </x:c>
      <x:c r="J55" s="9" t="n">
        <x:v>120</x:v>
      </x:c>
      <x:c r="K55" s="10" t="str">
        <x:v>5 tbsp</x:v>
      </x:c>
      <x:c r="L55" s="9" t="n">
        <x:v>23</x:v>
      </x:c>
    </x:row>
    <x:row r="56" ht="30" customHeight="1">
      <x:c r="A56" s="11" t="n">
        <x:v>55</x:v>
      </x:c>
      <x:c r="B56" s="12" t="str">
        <x:v>Whole milk powder</x:v>
      </x:c>
      <x:c r="C56" s="13" t="n">
        <x:v>26.32</x:v>
      </x:c>
      <x:c r="D56" s="13" t="n">
        <x:v>38.42</x:v>
      </x:c>
      <x:c r="E56" s="13" t="n">
        <x:v>26.71</x:v>
      </x:c>
      <x:c r="F56" s="14" t="n">
        <x:v>496</x:v>
      </x:c>
      <x:c r="G56" s="12" t="str">
        <x:v>0.25 cup</x:v>
      </x:c>
      <x:c r="H56" s="15" t="n">
        <x:v>32</x:v>
      </x:c>
      <x:c r="I56" s="12" t="str">
        <x:v>1 cup</x:v>
      </x:c>
      <x:c r="J56" s="15" t="n">
        <x:v>128</x:v>
      </x:c>
      <x:c r="K56" s="12"/>
      <x:c r="L56" s="15"/>
    </x:row>
    <x:row r="57" ht="30" customHeight="1">
      <x:c r="A57" s="2" t="n">
        <x:v>56</x:v>
      </x:c>
      <x:c r="B57" s="10" t="str">
        <x:v>Whey-isolate drink powder, USDA formulation</x:v>
      </x:c>
      <x:c r="C57" s="7" t="n">
        <x:v>58.14</x:v>
      </x:c>
      <x:c r="D57" s="7" t="n">
        <x:v>29.07</x:v>
      </x:c>
      <x:c r="E57" s="7" t="n">
        <x:v>1.16</x:v>
      </x:c>
      <x:c r="F57" s="8" t="n">
        <x:v>359</x:v>
      </x:c>
      <x:c r="G57" s="10" t="str">
        <x:v>3 scoop</x:v>
      </x:c>
      <x:c r="H57" s="9" t="n">
        <x:v>86</x:v>
      </x:c>
      <x:c r="I57" s="10"/>
      <x:c r="J57" s="9"/>
      <x:c r="K57" s="10"/>
      <x:c r="L57" s="9"/>
    </x:row>
    <x:row r="58" ht="30" customHeight="1">
      <x:c r="A58" s="11" t="n">
        <x:v>57</x:v>
      </x:c>
      <x:c r="B58" s="12" t="str">
        <x:v>Whey-based protein powder, generic</x:v>
      </x:c>
      <x:c r="C58" s="13" t="n">
        <x:v>78.13</x:v>
      </x:c>
      <x:c r="D58" s="13" t="n">
        <x:v>6.25</x:v>
      </x:c>
      <x:c r="E58" s="13" t="n">
        <x:v>1.56</x:v>
      </x:c>
      <x:c r="F58" s="14" t="n">
        <x:v>352</x:v>
      </x:c>
      <x:c r="G58" s="12" t="str">
        <x:v>0.33 cup</x:v>
      </x:c>
      <x:c r="H58" s="15" t="n">
        <x:v>32</x:v>
      </x:c>
      <x:c r="I58" s="12"/>
      <x:c r="J58" s="15"/>
      <x:c r="K58" s="12"/>
      <x:c r="L58" s="15"/>
    </x:row>
    <x:row r="59" ht="30" customHeight="1">
      <x:c r="A59" s="2" t="n">
        <x:v>58</x:v>
      </x:c>
      <x:c r="B59" s="10" t="str">
        <x:v>Tofu, firm, calcium sulfate and nigari</x:v>
      </x:c>
      <x:c r="C59" s="7" t="n">
        <x:v>9.04</x:v>
      </x:c>
      <x:c r="D59" s="7" t="n">
        <x:v>2.85</x:v>
      </x:c>
      <x:c r="E59" s="7" t="n">
        <x:v>4.17</x:v>
      </x:c>
      <x:c r="F59" s="8" t="n">
        <x:v>78</x:v>
      </x:c>
      <x:c r="G59" s="10" t="str">
        <x:v>0.5 cup</x:v>
      </x:c>
      <x:c r="H59" s="9" t="n">
        <x:v>126</x:v>
      </x:c>
      <x:c r="I59" s="10" t="str">
        <x:v>0.25 block</x:v>
      </x:c>
      <x:c r="J59" s="9" t="n">
        <x:v>81</x:v>
      </x:c>
      <x:c r="K59" s="10" t="str">
        <x:v>0.2 block</x:v>
      </x:c>
      <x:c r="L59" s="9" t="n">
        <x:v>91</x:v>
      </x:c>
    </x:row>
    <x:row r="60" ht="30" customHeight="1">
      <x:c r="A60" s="11" t="n">
        <x:v>59</x:v>
      </x:c>
      <x:c r="B60" s="12" t="str">
        <x:v>Tofu, soft, calcium sulfate and nigari</x:v>
      </x:c>
      <x:c r="C60" s="13" t="n">
        <x:v>7.17</x:v>
      </x:c>
      <x:c r="D60" s="13" t="n">
        <x:v>1.18</x:v>
      </x:c>
      <x:c r="E60" s="13" t="n">
        <x:v>3.69</x:v>
      </x:c>
      <x:c r="F60" s="14" t="n">
        <x:v>61</x:v>
      </x:c>
      <x:c r="G60" s="12" t="str">
        <x:v>1 cup (1/2" cubes)</x:v>
      </x:c>
      <x:c r="H60" s="15" t="n">
        <x:v>248</x:v>
      </x:c>
      <x:c r="I60" s="12" t="str">
        <x:v>1 piece (2-1/2" x 2-3/4" x 1")</x:v>
      </x:c>
      <x:c r="J60" s="15" t="n">
        <x:v>120</x:v>
      </x:c>
      <x:c r="K60" s="12" t="str">
        <x:v>0.25 block</x:v>
      </x:c>
      <x:c r="L60" s="15" t="n">
        <x:v>116</x:v>
      </x:c>
    </x:row>
    <x:row r="61" ht="30" customHeight="1">
      <x:c r="A61" s="2" t="n">
        <x:v>60</x:v>
      </x:c>
      <x:c r="B61" s="10" t="str">
        <x:v>Tofu, extra firm, nigari</x:v>
      </x:c>
      <x:c r="C61" s="7" t="n">
        <x:v>9.98</x:v>
      </x:c>
      <x:c r="D61" s="7" t="n">
        <x:v>1.18</x:v>
      </x:c>
      <x:c r="E61" s="7" t="n">
        <x:v>5.26</x:v>
      </x:c>
      <x:c r="F61" s="8" t="n">
        <x:v>83</x:v>
      </x:c>
      <x:c r="G61" s="10" t="str">
        <x:v>0.2 block</x:v>
      </x:c>
      <x:c r="H61" s="9" t="n">
        <x:v>91</x:v>
      </x:c>
      <x:c r="I61" s="10"/>
      <x:c r="J61" s="9"/>
      <x:c r="K61" s="10"/>
      <x:c r="L61" s="9"/>
    </x:row>
    <x:row r="62" ht="30" customHeight="1">
      <x:c r="A62" s="11" t="n">
        <x:v>61</x:v>
      </x:c>
      <x:c r="B62" s="12" t="str">
        <x:v>Soybeans, boiled, no salt</x:v>
      </x:c>
      <x:c r="C62" s="13" t="n">
        <x:v>18.21</x:v>
      </x:c>
      <x:c r="D62" s="13" t="n">
        <x:v>8.36</x:v>
      </x:c>
      <x:c r="E62" s="13" t="n">
        <x:v>8.97</x:v>
      </x:c>
      <x:c r="F62" s="14" t="n">
        <x:v>172</x:v>
      </x:c>
      <x:c r="G62" s="12" t="str">
        <x:v>1 cup</x:v>
      </x:c>
      <x:c r="H62" s="15" t="n">
        <x:v>172</x:v>
      </x:c>
      <x:c r="I62" s="12" t="str">
        <x:v>1 tbsp</x:v>
      </x:c>
      <x:c r="J62" s="15" t="n">
        <x:v>10.7</x:v>
      </x:c>
      <x:c r="K62" s="12"/>
      <x:c r="L62" s="15"/>
    </x:row>
    <x:row r="63" ht="30" customHeight="1">
      <x:c r="A63" s="2" t="n">
        <x:v>62</x:v>
      </x:c>
      <x:c r="B63" s="10" t="str">
        <x:v>Soybeans, roasted, salted</x:v>
      </x:c>
      <x:c r="C63" s="7" t="n">
        <x:v>38.55</x:v>
      </x:c>
      <x:c r="D63" s="7" t="n">
        <x:v>30.22</x:v>
      </x:c>
      <x:c r="E63" s="7" t="n">
        <x:v>25.4</x:v>
      </x:c>
      <x:c r="F63" s="8" t="n">
        <x:v>469</x:v>
      </x:c>
      <x:c r="G63" s="10" t="str">
        <x:v>1 cup</x:v>
      </x:c>
      <x:c r="H63" s="9" t="n">
        <x:v>172</x:v>
      </x:c>
      <x:c r="I63" s="10"/>
      <x:c r="J63" s="9"/>
      <x:c r="K63" s="10"/>
      <x:c r="L63" s="9"/>
    </x:row>
    <x:row r="64" ht="30" customHeight="1">
      <x:c r="A64" s="11" t="n">
        <x:v>63</x:v>
      </x:c>
      <x:c r="B64" s="12" t="str">
        <x:v>Tempeh, cooked</x:v>
      </x:c>
      <x:c r="C64" s="13" t="n">
        <x:v>19.91</x:v>
      </x:c>
      <x:c r="D64" s="13" t="n">
        <x:v>7.62</x:v>
      </x:c>
      <x:c r="E64" s="13" t="n">
        <x:v>11.38</x:v>
      </x:c>
      <x:c r="F64" s="14" t="n">
        <x:v>195</x:v>
      </x:c>
      <x:c r="G64" s="12"/>
      <x:c r="H64" s="15"/>
      <x:c r="I64" s="12"/>
      <x:c r="J64" s="15"/>
      <x:c r="K64" s="12"/>
      <x:c r="L64" s="15"/>
    </x:row>
    <x:row r="65" ht="30" customHeight="1">
      <x:c r="A65" s="2" t="n">
        <x:v>64</x:v>
      </x:c>
      <x:c r="B65" s="10" t="str">
        <x:v>Edamame, shelled, prepared</x:v>
      </x:c>
      <x:c r="C65" s="7" t="n">
        <x:v>11.91</x:v>
      </x:c>
      <x:c r="D65" s="7" t="n">
        <x:v>8.91</x:v>
      </x:c>
      <x:c r="E65" s="7" t="n">
        <x:v>5.2</x:v>
      </x:c>
      <x:c r="F65" s="8" t="n">
        <x:v>121</x:v>
      </x:c>
      <x:c r="G65" s="10" t="str">
        <x:v>1 cup</x:v>
      </x:c>
      <x:c r="H65" s="9" t="n">
        <x:v>155</x:v>
      </x:c>
      <x:c r="I65" s="10"/>
      <x:c r="J65" s="9"/>
      <x:c r="K65" s="10"/>
      <x:c r="L65" s="9"/>
    </x:row>
    <x:row r="66" ht="30" customHeight="1">
      <x:c r="A66" s="11" t="n">
        <x:v>65</x:v>
      </x:c>
      <x:c r="B66" s="12" t="str">
        <x:v>Soy milk, unsweetened, fortified</x:v>
      </x:c>
      <x:c r="C66" s="13" t="n">
        <x:v>2.86</x:v>
      </x:c>
      <x:c r="D66" s="13" t="n">
        <x:v>1.74</x:v>
      </x:c>
      <x:c r="E66" s="13" t="n">
        <x:v>1.61</x:v>
      </x:c>
      <x:c r="F66" s="14" t="n">
        <x:v>33</x:v>
      </x:c>
      <x:c r="G66" s="12" t="str">
        <x:v>1 cup</x:v>
      </x:c>
      <x:c r="H66" s="15" t="n">
        <x:v>243</x:v>
      </x:c>
      <x:c r="I66" s="12"/>
      <x:c r="J66" s="15"/>
      <x:c r="K66" s="12"/>
      <x:c r="L66" s="15"/>
    </x:row>
    <x:row r="67" ht="30" customHeight="1">
      <x:c r="A67" s="2" t="n">
        <x:v>66</x:v>
      </x:c>
      <x:c r="B67" s="10" t="str">
        <x:v>Soy flour, full-fat, raw</x:v>
      </x:c>
      <x:c r="C67" s="7" t="n">
        <x:v>37.81</x:v>
      </x:c>
      <x:c r="D67" s="7" t="n">
        <x:v>31.92</x:v>
      </x:c>
      <x:c r="E67" s="7" t="n">
        <x:v>20.65</x:v>
      </x:c>
      <x:c r="F67" s="8" t="n">
        <x:v>434</x:v>
      </x:c>
      <x:c r="G67" s="10" t="str">
        <x:v>1 cup, stirred</x:v>
      </x:c>
      <x:c r="H67" s="9" t="n">
        <x:v>84</x:v>
      </x:c>
      <x:c r="I67" s="10" t="str">
        <x:v>1 tbsp</x:v>
      </x:c>
      <x:c r="J67" s="9" t="n">
        <x:v>5.2</x:v>
      </x:c>
      <x:c r="K67" s="10"/>
      <x:c r="L67" s="9"/>
    </x:row>
    <x:row r="68" ht="30" customHeight="1">
      <x:c r="A68" s="11" t="n">
        <x:v>67</x:v>
      </x:c>
      <x:c r="B68" s="12" t="str">
        <x:v>Soy flour, defatted</x:v>
      </x:c>
      <x:c r="C68" s="13" t="n">
        <x:v>51.46</x:v>
      </x:c>
      <x:c r="D68" s="13" t="n">
        <x:v>33.92</x:v>
      </x:c>
      <x:c r="E68" s="13" t="n">
        <x:v>1.22</x:v>
      </x:c>
      <x:c r="F68" s="14" t="n">
        <x:v>327</x:v>
      </x:c>
      <x:c r="G68" s="12" t="str">
        <x:v>1 cup</x:v>
      </x:c>
      <x:c r="H68" s="15" t="n">
        <x:v>105</x:v>
      </x:c>
      <x:c r="I68" s="12" t="str">
        <x:v>1 tbsp</x:v>
      </x:c>
      <x:c r="J68" s="15" t="n">
        <x:v>6.6</x:v>
      </x:c>
      <x:c r="K68" s="12"/>
      <x:c r="L68" s="15"/>
    </x:row>
    <x:row r="69" ht="30" customHeight="1">
      <x:c r="A69" s="2" t="n">
        <x:v>68</x:v>
      </x:c>
      <x:c r="B69" s="10" t="str">
        <x:v>Soy protein isolate, dry</x:v>
      </x:c>
      <x:c r="C69" s="7" t="n">
        <x:v>88.32</x:v>
      </x:c>
      <x:c r="D69" s="7" t="n">
        <x:v>0</x:v>
      </x:c>
      <x:c r="E69" s="7" t="n">
        <x:v>3.39</x:v>
      </x:c>
      <x:c r="F69" s="8" t="n">
        <x:v>335</x:v>
      </x:c>
      <x:c r="G69" s="10"/>
      <x:c r="H69" s="9"/>
      <x:c r="I69" s="10"/>
      <x:c r="J69" s="9"/>
      <x:c r="K69" s="10"/>
      <x:c r="L69" s="9"/>
    </x:row>
    <x:row r="70" ht="30" customHeight="1">
      <x:c r="A70" s="11" t="n">
        <x:v>69</x:v>
      </x:c>
      <x:c r="B70" s="12" t="str">
        <x:v>Besan / chickpea flour, dry</x:v>
      </x:c>
      <x:c r="C70" s="13" t="n">
        <x:v>22.39</x:v>
      </x:c>
      <x:c r="D70" s="13" t="n">
        <x:v>57.82</x:v>
      </x:c>
      <x:c r="E70" s="13" t="n">
        <x:v>6.69</x:v>
      </x:c>
      <x:c r="F70" s="14" t="n">
        <x:v>387</x:v>
      </x:c>
      <x:c r="G70" s="12" t="str">
        <x:v>1 cup</x:v>
      </x:c>
      <x:c r="H70" s="15" t="n">
        <x:v>92</x:v>
      </x:c>
      <x:c r="I70" s="12"/>
      <x:c r="J70" s="15"/>
      <x:c r="K70" s="12"/>
      <x:c r="L70" s="15"/>
    </x:row>
    <x:row r="71" ht="30" customHeight="1">
      <x:c r="A71" s="2" t="n">
        <x:v>70</x:v>
      </x:c>
      <x:c r="B71" s="10" t="str">
        <x:v>Kabuli chana / chickpeas, dry</x:v>
      </x:c>
      <x:c r="C71" s="7" t="n">
        <x:v>20.47</x:v>
      </x:c>
      <x:c r="D71" s="7" t="n">
        <x:v>62.95</x:v>
      </x:c>
      <x:c r="E71" s="7" t="n">
        <x:v>6.04</x:v>
      </x:c>
      <x:c r="F71" s="8" t="n">
        <x:v>378</x:v>
      </x:c>
      <x:c r="G71" s="10" t="str">
        <x:v>1 cup</x:v>
      </x:c>
      <x:c r="H71" s="9" t="n">
        <x:v>200</x:v>
      </x:c>
      <x:c r="I71" s="10" t="str">
        <x:v>1 tbsp</x:v>
      </x:c>
      <x:c r="J71" s="9" t="n">
        <x:v>12.5</x:v>
      </x:c>
      <x:c r="K71" s="10"/>
      <x:c r="L71" s="9"/>
    </x:row>
    <x:row r="72" ht="30" customHeight="1">
      <x:c r="A72" s="11" t="n">
        <x:v>71</x:v>
      </x:c>
      <x:c r="B72" s="12" t="str">
        <x:v>Kabuli chana / chickpeas, boiled, no salt</x:v>
      </x:c>
      <x:c r="C72" s="13" t="n">
        <x:v>8.86</x:v>
      </x:c>
      <x:c r="D72" s="13" t="n">
        <x:v>27.42</x:v>
      </x:c>
      <x:c r="E72" s="13" t="n">
        <x:v>2.59</x:v>
      </x:c>
      <x:c r="F72" s="14" t="n">
        <x:v>164</x:v>
      </x:c>
      <x:c r="G72" s="12" t="str">
        <x:v>1 cup</x:v>
      </x:c>
      <x:c r="H72" s="15" t="n">
        <x:v>164</x:v>
      </x:c>
      <x:c r="I72" s="12"/>
      <x:c r="J72" s="15"/>
      <x:c r="K72" s="12"/>
      <x:c r="L72" s="15"/>
    </x:row>
    <x:row r="73" ht="30" customHeight="1">
      <x:c r="A73" s="2" t="n">
        <x:v>72</x:v>
      </x:c>
      <x:c r="B73" s="10" t="str">
        <x:v>Lentils / masoor, boiled, no salt</x:v>
      </x:c>
      <x:c r="C73" s="7" t="n">
        <x:v>9.02</x:v>
      </x:c>
      <x:c r="D73" s="7" t="n">
        <x:v>20.13</x:v>
      </x:c>
      <x:c r="E73" s="7" t="n">
        <x:v>0.38</x:v>
      </x:c>
      <x:c r="F73" s="8" t="n">
        <x:v>116</x:v>
      </x:c>
      <x:c r="G73" s="10" t="str">
        <x:v>1 cup</x:v>
      </x:c>
      <x:c r="H73" s="9" t="n">
        <x:v>198</x:v>
      </x:c>
      <x:c r="I73" s="10" t="str">
        <x:v>1 tbsp</x:v>
      </x:c>
      <x:c r="J73" s="9" t="n">
        <x:v>12.3</x:v>
      </x:c>
      <x:c r="K73" s="10"/>
      <x:c r="L73" s="9"/>
    </x:row>
    <x:row r="74" ht="30" customHeight="1">
      <x:c r="A74" s="11" t="n">
        <x:v>73</x:v>
      </x:c>
      <x:c r="B74" s="12" t="str">
        <x:v>Whole moong, boiled, no salt</x:v>
      </x:c>
      <x:c r="C74" s="13" t="n">
        <x:v>7.02</x:v>
      </x:c>
      <x:c r="D74" s="13" t="n">
        <x:v>19.15</x:v>
      </x:c>
      <x:c r="E74" s="13" t="n">
        <x:v>0.38</x:v>
      </x:c>
      <x:c r="F74" s="14" t="n">
        <x:v>105</x:v>
      </x:c>
      <x:c r="G74" s="12" t="str">
        <x:v>1 cup</x:v>
      </x:c>
      <x:c r="H74" s="15" t="n">
        <x:v>202</x:v>
      </x:c>
      <x:c r="I74" s="12"/>
      <x:c r="J74" s="15"/>
      <x:c r="K74" s="12"/>
      <x:c r="L74" s="15"/>
    </x:row>
    <x:row r="75" ht="30" customHeight="1">
      <x:c r="A75" s="2" t="n">
        <x:v>74</x:v>
      </x:c>
      <x:c r="B75" s="10" t="str">
        <x:v>Whole urad, boiled, no salt</x:v>
      </x:c>
      <x:c r="C75" s="7" t="n">
        <x:v>7.54</x:v>
      </x:c>
      <x:c r="D75" s="7" t="n">
        <x:v>18.34</x:v>
      </x:c>
      <x:c r="E75" s="7" t="n">
        <x:v>0.55</x:v>
      </x:c>
      <x:c r="F75" s="8" t="n">
        <x:v>105</x:v>
      </x:c>
      <x:c r="G75" s="10" t="str">
        <x:v>1 cup</x:v>
      </x:c>
      <x:c r="H75" s="9" t="n">
        <x:v>180</x:v>
      </x:c>
      <x:c r="I75" s="10"/>
      <x:c r="J75" s="9"/>
      <x:c r="K75" s="10"/>
      <x:c r="L75" s="9"/>
    </x:row>
    <x:row r="76" ht="30" customHeight="1">
      <x:c r="A76" s="11" t="n">
        <x:v>75</x:v>
      </x:c>
      <x:c r="B76" s="12" t="str">
        <x:v>Whole pigeon peas / arhar, boiled, no salt</x:v>
      </x:c>
      <x:c r="C76" s="13" t="n">
        <x:v>6.76</x:v>
      </x:c>
      <x:c r="D76" s="13" t="n">
        <x:v>23.25</x:v>
      </x:c>
      <x:c r="E76" s="13" t="n">
        <x:v>0.38</x:v>
      </x:c>
      <x:c r="F76" s="14" t="n">
        <x:v>121</x:v>
      </x:c>
      <x:c r="G76" s="12" t="str">
        <x:v>1 cup</x:v>
      </x:c>
      <x:c r="H76" s="15" t="n">
        <x:v>168</x:v>
      </x:c>
      <x:c r="I76" s="12"/>
      <x:c r="J76" s="15"/>
      <x:c r="K76" s="12"/>
      <x:c r="L76" s="15"/>
    </x:row>
    <x:row r="77" ht="30" customHeight="1">
      <x:c r="A77" s="2" t="n">
        <x:v>76</x:v>
      </x:c>
      <x:c r="B77" s="10" t="str">
        <x:v>Red rajma, boiled, no salt</x:v>
      </x:c>
      <x:c r="C77" s="7" t="n">
        <x:v>8.67</x:v>
      </x:c>
      <x:c r="D77" s="7" t="n">
        <x:v>22.8</x:v>
      </x:c>
      <x:c r="E77" s="7" t="n">
        <x:v>0.5</x:v>
      </x:c>
      <x:c r="F77" s="8" t="n">
        <x:v>127</x:v>
      </x:c>
      <x:c r="G77" s="10" t="str">
        <x:v>1 cup</x:v>
      </x:c>
      <x:c r="H77" s="9" t="n">
        <x:v>177</x:v>
      </x:c>
      <x:c r="I77" s="10" t="str">
        <x:v>1 tbsp</x:v>
      </x:c>
      <x:c r="J77" s="9" t="n">
        <x:v>11</x:v>
      </x:c>
      <x:c r="K77" s="10"/>
      <x:c r="L77" s="9"/>
    </x:row>
    <x:row r="78" ht="30" customHeight="1">
      <x:c r="A78" s="11" t="n">
        <x:v>77</x:v>
      </x:c>
      <x:c r="B78" s="12" t="str">
        <x:v>Lobia / black-eyed peas, boiled, no salt</x:v>
      </x:c>
      <x:c r="C78" s="13" t="n">
        <x:v>7.73</x:v>
      </x:c>
      <x:c r="D78" s="13" t="n">
        <x:v>20.76</x:v>
      </x:c>
      <x:c r="E78" s="13" t="n">
        <x:v>0.53</x:v>
      </x:c>
      <x:c r="F78" s="14" t="n">
        <x:v>116</x:v>
      </x:c>
      <x:c r="G78" s="12" t="str">
        <x:v>1 cup</x:v>
      </x:c>
      <x:c r="H78" s="15" t="n">
        <x:v>171</x:v>
      </x:c>
      <x:c r="I78" s="12"/>
      <x:c r="J78" s="15"/>
      <x:c r="K78" s="12"/>
      <x:c r="L78" s="15"/>
    </x:row>
    <x:row r="79" ht="30" customHeight="1">
      <x:c r="A79" s="2" t="n">
        <x:v>78</x:v>
      </x:c>
      <x:c r="B79" s="10" t="str">
        <x:v>Green peas, boiled and drained, no salt</x:v>
      </x:c>
      <x:c r="C79" s="7" t="n">
        <x:v>5.36</x:v>
      </x:c>
      <x:c r="D79" s="7" t="n">
        <x:v>15.63</x:v>
      </x:c>
      <x:c r="E79" s="7" t="n">
        <x:v>0.22</x:v>
      </x:c>
      <x:c r="F79" s="8" t="n">
        <x:v>84</x:v>
      </x:c>
      <x:c r="G79" s="10" t="str">
        <x:v>1 cup</x:v>
      </x:c>
      <x:c r="H79" s="9" t="n">
        <x:v>160</x:v>
      </x:c>
      <x:c r="I79" s="10"/>
      <x:c r="J79" s="9"/>
      <x:c r="K79" s="10"/>
      <x:c r="L79" s="9"/>
    </x:row>
    <x:row r="80" ht="30" customHeight="1">
      <x:c r="A80" s="11" t="n">
        <x:v>79</x:v>
      </x:c>
      <x:c r="B80" s="12" t="str">
        <x:v>Moong sprouts, raw</x:v>
      </x:c>
      <x:c r="C80" s="13" t="n">
        <x:v>3.04</x:v>
      </x:c>
      <x:c r="D80" s="13" t="n">
        <x:v>5.94</x:v>
      </x:c>
      <x:c r="E80" s="13" t="n">
        <x:v>0.18</x:v>
      </x:c>
      <x:c r="F80" s="14" t="n">
        <x:v>30</x:v>
      </x:c>
      <x:c r="G80" s="12" t="str">
        <x:v>1 cup</x:v>
      </x:c>
      <x:c r="H80" s="15" t="n">
        <x:v>104</x:v>
      </x:c>
      <x:c r="I80" s="12" t="str">
        <x:v>1 package (12 oz)</x:v>
      </x:c>
      <x:c r="J80" s="15" t="n">
        <x:v>340</x:v>
      </x:c>
      <x:c r="K80" s="12"/>
      <x:c r="L80" s="15"/>
    </x:row>
    <x:row r="81" ht="30" customHeight="1">
      <x:c r="A81" s="2" t="n">
        <x:v>80</x:v>
      </x:c>
      <x:c r="B81" s="10" t="str">
        <x:v>Peanuts, dry-roasted, unsalted</x:v>
      </x:c>
      <x:c r="C81" s="7" t="n">
        <x:v>24.35</x:v>
      </x:c>
      <x:c r="D81" s="7" t="n">
        <x:v>21.26</x:v>
      </x:c>
      <x:c r="E81" s="7" t="n">
        <x:v>49.66</x:v>
      </x:c>
      <x:c r="F81" s="8" t="n">
        <x:v>587</x:v>
      </x:c>
      <x:c r="G81" s="10" t="str">
        <x:v>1 cup</x:v>
      </x:c>
      <x:c r="H81" s="9" t="n">
        <x:v>146</x:v>
      </x:c>
      <x:c r="I81" s="10" t="str">
        <x:v>1 peanut</x:v>
      </x:c>
      <x:c r="J81" s="9" t="n">
        <x:v>1</x:v>
      </x:c>
      <x:c r="K81" s="10"/>
      <x:c r="L81" s="9"/>
    </x:row>
    <x:row r="82" ht="30" customHeight="1">
      <x:c r="A82" s="11" t="n">
        <x:v>81</x:v>
      </x:c>
      <x:c r="B82" s="12" t="str">
        <x:v>Peanut butter, smooth, unsalted</x:v>
      </x:c>
      <x:c r="C82" s="13" t="n">
        <x:v>22.21</x:v>
      </x:c>
      <x:c r="D82" s="13" t="n">
        <x:v>22.31</x:v>
      </x:c>
      <x:c r="E82" s="13" t="n">
        <x:v>51.36</x:v>
      </x:c>
      <x:c r="F82" s="14" t="n">
        <x:v>598</x:v>
      </x:c>
      <x:c r="G82" s="12" t="str">
        <x:v>2 tbsp</x:v>
      </x:c>
      <x:c r="H82" s="15" t="n">
        <x:v>32</x:v>
      </x:c>
      <x:c r="I82" s="12" t="str">
        <x:v>1 cup</x:v>
      </x:c>
      <x:c r="J82" s="15" t="n">
        <x:v>258</x:v>
      </x:c>
      <x:c r="K82" s="12"/>
      <x:c r="L82" s="15"/>
    </x:row>
    <x:row r="83" ht="30" customHeight="1">
      <x:c r="A83" s="2" t="n">
        <x:v>82</x:v>
      </x:c>
      <x:c r="B83" s="10" t="str">
        <x:v>Pumpkin seed kernels, dried</x:v>
      </x:c>
      <x:c r="C83" s="7" t="n">
        <x:v>30.23</x:v>
      </x:c>
      <x:c r="D83" s="7" t="n">
        <x:v>10.71</x:v>
      </x:c>
      <x:c r="E83" s="7" t="n">
        <x:v>49.05</x:v>
      </x:c>
      <x:c r="F83" s="8" t="n">
        <x:v>559</x:v>
      </x:c>
      <x:c r="G83" s="10" t="str">
        <x:v>1 cup</x:v>
      </x:c>
      <x:c r="H83" s="9" t="n">
        <x:v>129</x:v>
      </x:c>
      <x:c r="I83" s="10"/>
      <x:c r="J83" s="9"/>
      <x:c r="K83" s="10"/>
      <x:c r="L83" s="9"/>
    </x:row>
    <x:row r="84" ht="30" customHeight="1">
      <x:c r="A84" s="11" t="n">
        <x:v>83</x:v>
      </x:c>
      <x:c r="B84" s="12" t="str">
        <x:v>Chia seeds, dried</x:v>
      </x:c>
      <x:c r="C84" s="13" t="n">
        <x:v>16.54</x:v>
      </x:c>
      <x:c r="D84" s="13" t="n">
        <x:v>42.12</x:v>
      </x:c>
      <x:c r="E84" s="13" t="n">
        <x:v>30.74</x:v>
      </x:c>
      <x:c r="F84" s="14" t="n">
        <x:v>486</x:v>
      </x:c>
      <x:c r="G84" s="12"/>
      <x:c r="H84" s="15"/>
      <x:c r="I84" s="12"/>
      <x:c r="J84" s="15"/>
      <x:c r="K84" s="12"/>
      <x:c r="L84" s="15"/>
    </x:row>
    <x:row r="85" ht="30" customHeight="1">
      <x:c r="A85" s="2" t="n">
        <x:v>84</x:v>
      </x:c>
      <x:c r="B85" s="10" t="str">
        <x:v>Watermelon seed kernels, dried</x:v>
      </x:c>
      <x:c r="C85" s="7" t="n">
        <x:v>28.33</x:v>
      </x:c>
      <x:c r="D85" s="7" t="n">
        <x:v>15.31</x:v>
      </x:c>
      <x:c r="E85" s="7" t="n">
        <x:v>47.37</x:v>
      </x:c>
      <x:c r="F85" s="8" t="n">
        <x:v>557</x:v>
      </x:c>
      <x:c r="G85" s="10" t="str">
        <x:v>1 cup</x:v>
      </x:c>
      <x:c r="H85" s="9" t="n">
        <x:v>108</x:v>
      </x:c>
      <x:c r="I85" s="10"/>
      <x:c r="J85" s="9"/>
      <x:c r="K85" s="10"/>
      <x:c r="L85" s="9"/>
    </x:row>
    <x:row r="86" ht="30" customHeight="1">
      <x:c r="A86" s="11" t="n">
        <x:v>85</x:v>
      </x:c>
      <x:c r="B86" s="12" t="str">
        <x:v>Rolled / quick oats, dry, unfortified</x:v>
      </x:c>
      <x:c r="C86" s="13" t="n">
        <x:v>13.15</x:v>
      </x:c>
      <x:c r="D86" s="13" t="n">
        <x:v>67.7</x:v>
      </x:c>
      <x:c r="E86" s="13" t="n">
        <x:v>6.52</x:v>
      </x:c>
      <x:c r="F86" s="14" t="n">
        <x:v>379</x:v>
      </x:c>
      <x:c r="G86" s="12" t="str">
        <x:v>1 cup</x:v>
      </x:c>
      <x:c r="H86" s="15" t="n">
        <x:v>81</x:v>
      </x:c>
      <x:c r="I86" s="12" t="str">
        <x:v>0.333 cup</x:v>
      </x:c>
      <x:c r="J86" s="15" t="n">
        <x:v>27</x:v>
      </x:c>
      <x:c r="K86" s="12"/>
      <x:c r="L86" s="15"/>
    </x:row>
    <x:row r="87" ht="30" customHeight="1">
      <x:c r="A87" s="2" t="n">
        <x:v>86</x:v>
      </x:c>
      <x:c r="B87" s="10" t="str">
        <x:v>Whole-wheat bread, commercial</x:v>
      </x:c>
      <x:c r="C87" s="7" t="n">
        <x:v>12.45</x:v>
      </x:c>
      <x:c r="D87" s="7" t="n">
        <x:v>42.71</x:v>
      </x:c>
      <x:c r="E87" s="7" t="n">
        <x:v>3.5</x:v>
      </x:c>
      <x:c r="F87" s="8" t="n">
        <x:v>252</x:v>
      </x:c>
      <x:c r="G87" s="10" t="str">
        <x:v>1 slice</x:v>
      </x:c>
      <x:c r="H87" s="9" t="n">
        <x:v>32</x:v>
      </x:c>
      <x:c r="I87" s="10"/>
      <x:c r="J87" s="9"/>
      <x:c r="K87" s="10"/>
      <x:c r="L87" s="9"/>
    </x:row>
    <x:row r="88" ht="30" customHeight="1">
      <x:c r="A88" s="11" t="n">
        <x:v>87</x:v>
      </x:c>
      <x:c r="B88" s="12" t="str">
        <x:v>Chicken egg, whole, raw</x:v>
      </x:c>
      <x:c r="C88" s="13" t="n">
        <x:v>12.56</x:v>
      </x:c>
      <x:c r="D88" s="13" t="n">
        <x:v>0.72</x:v>
      </x:c>
      <x:c r="E88" s="13" t="n">
        <x:v>9.51</x:v>
      </x:c>
      <x:c r="F88" s="14" t="n">
        <x:v>143</x:v>
      </x:c>
      <x:c r="G88" s="12" t="str">
        <x:v>1 large</x:v>
      </x:c>
      <x:c r="H88" s="15" t="n">
        <x:v>50</x:v>
      </x:c>
      <x:c r="I88" s="12" t="str">
        <x:v>1 medium</x:v>
      </x:c>
      <x:c r="J88" s="15" t="n">
        <x:v>44</x:v>
      </x:c>
      <x:c r="K88" s="12" t="str">
        <x:v>1 small</x:v>
      </x:c>
      <x:c r="L88" s="15" t="n">
        <x:v>38</x:v>
      </x:c>
    </x:row>
    <x:row r="89" ht="30" customHeight="1">
      <x:c r="A89" s="2" t="n">
        <x:v>88</x:v>
      </x:c>
      <x:c r="B89" s="10" t="str">
        <x:v>Chicken egg, whole, hard-boiled</x:v>
      </x:c>
      <x:c r="C89" s="7" t="n">
        <x:v>12.58</x:v>
      </x:c>
      <x:c r="D89" s="7" t="n">
        <x:v>1.12</x:v>
      </x:c>
      <x:c r="E89" s="7" t="n">
        <x:v>10.61</x:v>
      </x:c>
      <x:c r="F89" s="8" t="n">
        <x:v>155</x:v>
      </x:c>
      <x:c r="G89" s="10" t="str">
        <x:v>1 large</x:v>
      </x:c>
      <x:c r="H89" s="9" t="n">
        <x:v>50</x:v>
      </x:c>
      <x:c r="I89" s="10" t="str">
        <x:v>1 cup, chopped</x:v>
      </x:c>
      <x:c r="J89" s="9" t="n">
        <x:v>136</x:v>
      </x:c>
      <x:c r="K89" s="10" t="str">
        <x:v>1 tbsp</x:v>
      </x:c>
      <x:c r="L89" s="9" t="n">
        <x:v>8.5</x:v>
      </x:c>
    </x:row>
    <x:row r="90" ht="30" customHeight="1">
      <x:c r="A90" s="11" t="n">
        <x:v>89</x:v>
      </x:c>
      <x:c r="B90" s="12" t="str">
        <x:v>Chicken egg white, raw</x:v>
      </x:c>
      <x:c r="C90" s="13" t="n">
        <x:v>10.9</x:v>
      </x:c>
      <x:c r="D90" s="13" t="n">
        <x:v>0.73</x:v>
      </x:c>
      <x:c r="E90" s="13" t="n">
        <x:v>0.17</x:v>
      </x:c>
      <x:c r="F90" s="14" t="n">
        <x:v>52</x:v>
      </x:c>
      <x:c r="G90" s="12" t="str">
        <x:v>1 large</x:v>
      </x:c>
      <x:c r="H90" s="15" t="n">
        <x:v>33</x:v>
      </x:c>
      <x:c r="I90" s="12" t="str">
        <x:v>1 cup</x:v>
      </x:c>
      <x:c r="J90" s="15" t="n">
        <x:v>243</x:v>
      </x:c>
      <x:c r="K90" s="12"/>
      <x:c r="L90" s="15"/>
    </x:row>
    <x:row r="91" ht="30" customHeight="1">
      <x:c r="A91" s="2" t="n">
        <x:v>90</x:v>
      </x:c>
      <x:c r="B91" s="10" t="str">
        <x:v>Duck egg, whole, raw</x:v>
      </x:c>
      <x:c r="C91" s="7" t="n">
        <x:v>12.81</x:v>
      </x:c>
      <x:c r="D91" s="7" t="n">
        <x:v>1.45</x:v>
      </x:c>
      <x:c r="E91" s="7" t="n">
        <x:v>13.77</x:v>
      </x:c>
      <x:c r="F91" s="8" t="n">
        <x:v>185</x:v>
      </x:c>
      <x:c r="G91" s="10" t="str">
        <x:v>1 egg</x:v>
      </x:c>
      <x:c r="H91" s="9" t="n">
        <x:v>70</x:v>
      </x:c>
      <x:c r="I91" s="10"/>
      <x:c r="J91" s="9"/>
      <x:c r="K91" s="10"/>
      <x:c r="L91" s="9"/>
    </x:row>
    <x:row r="92" ht="30" customHeight="1">
      <x:c r="A92" s="11" t="n">
        <x:v>91</x:v>
      </x:c>
      <x:c r="B92" s="12" t="str">
        <x:v>Quail egg, whole, raw</x:v>
      </x:c>
      <x:c r="C92" s="13" t="n">
        <x:v>13.05</x:v>
      </x:c>
      <x:c r="D92" s="13" t="n">
        <x:v>0.41</x:v>
      </x:c>
      <x:c r="E92" s="13" t="n">
        <x:v>11.09</x:v>
      </x:c>
      <x:c r="F92" s="14" t="n">
        <x:v>158</x:v>
      </x:c>
      <x:c r="G92" s="12" t="str">
        <x:v>1 egg</x:v>
      </x:c>
      <x:c r="H92" s="15" t="n">
        <x:v>9</x:v>
      </x:c>
      <x:c r="I92" s="12"/>
      <x:c r="J92" s="15"/>
      <x:c r="K92" s="12"/>
      <x:c r="L92" s="15"/>
    </x:row>
    <x:row r="93" ht="30" customHeight="1">
      <x:c r="A93" s="2" t="n">
        <x:v>92</x:v>
      </x:c>
      <x:c r="B93" s="10" t="str">
        <x:v>Chicken breast, skinless meat, roasted</x:v>
      </x:c>
      <x:c r="C93" s="7" t="n">
        <x:v>31.02</x:v>
      </x:c>
      <x:c r="D93" s="7" t="n">
        <x:v>0</x:v>
      </x:c>
      <x:c r="E93" s="7" t="n">
        <x:v>3.57</x:v>
      </x:c>
      <x:c r="F93" s="8" t="n">
        <x:v>165</x:v>
      </x:c>
      <x:c r="G93" s="10" t="str">
        <x:v>1 cup, chopped or diced</x:v>
      </x:c>
      <x:c r="H93" s="9" t="n">
        <x:v>140</x:v>
      </x:c>
      <x:c r="I93" s="10" t="str">
        <x:v>0.5 breast, bone and skin removed</x:v>
      </x:c>
      <x:c r="J93" s="9" t="n">
        <x:v>86</x:v>
      </x:c>
      <x:c r="K93" s="10"/>
      <x:c r="L93" s="9"/>
    </x:row>
    <x:row r="94" ht="30" customHeight="1">
      <x:c r="A94" s="11" t="n">
        <x:v>93</x:v>
      </x:c>
      <x:c r="B94" s="12" t="str">
        <x:v>Chicken thigh, skinless meat, roasted</x:v>
      </x:c>
      <x:c r="C94" s="13" t="n">
        <x:v>24.76</x:v>
      </x:c>
      <x:c r="D94" s="13" t="n">
        <x:v>0</x:v>
      </x:c>
      <x:c r="E94" s="13" t="n">
        <x:v>8.15</x:v>
      </x:c>
      <x:c r="F94" s="14" t="n">
        <x:v>179</x:v>
      </x:c>
      <x:c r="G94" s="12" t="str">
        <x:v>1 thigh without skin</x:v>
      </x:c>
      <x:c r="H94" s="15" t="n">
        <x:v>116</x:v>
      </x:c>
      <x:c r="I94" s="12"/>
      <x:c r="J94" s="15"/>
      <x:c r="K94" s="12"/>
      <x:c r="L94" s="15"/>
    </x:row>
    <x:row r="95" ht="30" customHeight="1">
      <x:c r="A95" s="2" t="n">
        <x:v>94</x:v>
      </x:c>
      <x:c r="B95" s="10" t="str">
        <x:v>Chicken drumstick, skinless meat, roasted</x:v>
      </x:c>
      <x:c r="C95" s="7" t="n">
        <x:v>24.24</x:v>
      </x:c>
      <x:c r="D95" s="7" t="n">
        <x:v>0</x:v>
      </x:c>
      <x:c r="E95" s="7" t="n">
        <x:v>5.7</x:v>
      </x:c>
      <x:c r="F95" s="8" t="n">
        <x:v>155</x:v>
      </x:c>
      <x:c r="G95" s="10" t="str">
        <x:v>1 drumstick without skin</x:v>
      </x:c>
      <x:c r="H95" s="9" t="n">
        <x:v>96</x:v>
      </x:c>
      <x:c r="I95" s="10"/>
      <x:c r="J95" s="9"/>
      <x:c r="K95" s="10"/>
      <x:c r="L95" s="9"/>
    </x:row>
    <x:row r="96" ht="30" customHeight="1">
      <x:c r="A96" s="11" t="n">
        <x:v>95</x:v>
      </x:c>
      <x:c r="B96" s="12" t="str">
        <x:v>Chicken liver, simmered</x:v>
      </x:c>
      <x:c r="C96" s="13" t="n">
        <x:v>24.46</x:v>
      </x:c>
      <x:c r="D96" s="13" t="n">
        <x:v>0.87</x:v>
      </x:c>
      <x:c r="E96" s="13" t="n">
        <x:v>6.51</x:v>
      </x:c>
      <x:c r="F96" s="14" t="n">
        <x:v>167</x:v>
      </x:c>
      <x:c r="G96" s="12" t="str">
        <x:v>1 liver</x:v>
      </x:c>
      <x:c r="H96" s="15" t="n">
        <x:v>44</x:v>
      </x:c>
      <x:c r="I96" s="12"/>
      <x:c r="J96" s="15"/>
      <x:c r="K96" s="12"/>
      <x:c r="L96" s="15"/>
    </x:row>
    <x:row r="97" ht="30" customHeight="1">
      <x:c r="A97" s="2" t="n">
        <x:v>96</x:v>
      </x:c>
      <x:c r="B97" s="10" t="str">
        <x:v>Goat meat / mutton, roasted</x:v>
      </x:c>
      <x:c r="C97" s="7" t="n">
        <x:v>27.1</x:v>
      </x:c>
      <x:c r="D97" s="7" t="n">
        <x:v>0</x:v>
      </x:c>
      <x:c r="E97" s="7" t="n">
        <x:v>3.03</x:v>
      </x:c>
      <x:c r="F97" s="8" t="n">
        <x:v>143</x:v>
      </x:c>
      <x:c r="G97" s="10"/>
      <x:c r="H97" s="9"/>
      <x:c r="I97" s="10"/>
      <x:c r="J97" s="9"/>
      <x:c r="K97" s="10"/>
      <x:c r="L97" s="9"/>
    </x:row>
    <x:row r="98" ht="30" customHeight="1">
      <x:c r="A98" s="11" t="n">
        <x:v>97</x:v>
      </x:c>
      <x:c r="B98" s="12" t="str">
        <x:v>Tilapia fish, cooked with dry heat</x:v>
      </x:c>
      <x:c r="C98" s="13" t="n">
        <x:v>26.15</x:v>
      </x:c>
      <x:c r="D98" s="13" t="n">
        <x:v>0</x:v>
      </x:c>
      <x:c r="E98" s="13" t="n">
        <x:v>2.65</x:v>
      </x:c>
      <x:c r="F98" s="14" t="n">
        <x:v>128</x:v>
      </x:c>
      <x:c r="G98" s="12" t="str">
        <x:v>1 fillet</x:v>
      </x:c>
      <x:c r="H98" s="15" t="n">
        <x:v>87</x:v>
      </x:c>
      <x:c r="I98" s="12"/>
      <x:c r="J98" s="15"/>
      <x:c r="K98" s="12"/>
      <x:c r="L98" s="15"/>
    </x:row>
    <x:row r="99" ht="30" customHeight="1">
      <x:c r="A99" s="2" t="n">
        <x:v>98</x:v>
      </x:c>
      <x:c r="B99" s="10" t="str">
        <x:v>Tuna, light, canned in water, drained</x:v>
      </x:c>
      <x:c r="C99" s="7" t="n">
        <x:v>19.44</x:v>
      </x:c>
      <x:c r="D99" s="7" t="n">
        <x:v>0</x:v>
      </x:c>
      <x:c r="E99" s="7" t="n">
        <x:v>0.96</x:v>
      </x:c>
      <x:c r="F99" s="8" t="n">
        <x:v>86</x:v>
      </x:c>
      <x:c r="G99" s="10" t="str">
        <x:v>1 cup, solid or chunks</x:v>
      </x:c>
      <x:c r="H99" s="9" t="n">
        <x:v>154</x:v>
      </x:c>
      <x:c r="I99" s="10" t="str">
        <x:v>1 can</x:v>
      </x:c>
      <x:c r="J99" s="9" t="n">
        <x:v>165</x:v>
      </x:c>
      <x:c r="K99" s="10" t="str">
        <x:v>1 can (12.5 oz), drained</x:v>
      </x:c>
      <x:c r="L99" s="9" t="n">
        <x:v>315</x:v>
      </x:c>
    </x:row>
    <x:row r="100" ht="30" customHeight="1">
      <x:c r="A100" s="11" t="n">
        <x:v>99</x:v>
      </x:c>
      <x:c r="B100" s="12" t="str">
        <x:v>Prawns / shrimp, cooked with moist heat</x:v>
      </x:c>
      <x:c r="C100" s="13" t="n">
        <x:v>22.78</x:v>
      </x:c>
      <x:c r="D100" s="13" t="n">
        <x:v>1.52</x:v>
      </x:c>
      <x:c r="E100" s="13" t="n">
        <x:v>1.7</x:v>
      </x:c>
      <x:c r="F100" s="14" t="n">
        <x:v>119</x:v>
      </x:c>
      <x:c r="G100" s="12" t="str">
        <x:v>4 large</x:v>
      </x:c>
      <x:c r="H100" s="15" t="n">
        <x:v>22</x:v>
      </x:c>
      <x:c r="I100" s="12"/>
      <x:c r="J100" s="15"/>
      <x:c r="K100" s="12"/>
      <x:c r="L100" s="15"/>
    </x:row>
    <x:row r="101" ht="30" customHeight="1">
      <x:c r="A101" s="2" t="n">
        <x:v>100</x:v>
      </x:c>
      <x:c r="B101" s="10" t="str">
        <x:v>Blue crab meat, cooked with moist heat</x:v>
      </x:c>
      <x:c r="C101" s="7" t="n">
        <x:v>17.88</x:v>
      </x:c>
      <x:c r="D101" s="7" t="n">
        <x:v>0</x:v>
      </x:c>
      <x:c r="E101" s="7" t="n">
        <x:v>0.74</x:v>
      </x:c>
      <x:c r="F101" s="8" t="n">
        <x:v>83</x:v>
      </x:c>
      <x:c r="G101" s="10" t="str">
        <x:v>1 cup, flaked and pieces</x:v>
      </x:c>
      <x:c r="H101" s="9" t="n">
        <x:v>118</x:v>
      </x:c>
      <x:c r="I101" s="10" t="str">
        <x:v>1 cup (not packed)</x:v>
      </x:c>
      <x:c r="J101" s="9" t="n">
        <x:v>135</x:v>
      </x:c>
      <x:c r="K101" s="10"/>
      <x:c r="L101" s="9"/>
    </x:row>
  </x:sheetData>
  <x:pageMargins left="0.7" right="0.7" top="0.75" bottom="0.75" header="0.3" footer="0.3"/>
  <x:tableParts count="1">
    <x:tablePart xmlns:r="http://schemas.openxmlformats.org/officeDocument/2006/relationships" r:id="R73b23dcb765c49d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2" hidden="0" customWidth="1"/>
    <x:col min="2" max="2" width="54" hidden="0" customWidth="1"/>
    <x:col min="3" max="3" width="35" hidden="0" customWidth="1"/>
    <x:col min="4" max="4" width="35" hidden="0" customWidth="1"/>
    <x:col min="5" max="5" width="3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70" hidden="0" customWidth="1"/>
    <x:col min="13" max="13" width="58" hidden="0" customWidth="1"/>
    <x:col min="14" max="14" width="58" hidden="0" customWidth="1"/>
    <x:col min="15" max="15" width="58" hidden="0" customWidth="1"/>
  </x:cols>
  <x:sheetData>
    <x:row r="1" ht="28" customHeight="1">
      <x:c r="A1" s="16" t="str">
        <x:v>Reference and usage notes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17" t="str">
        <x:v>Scope</x:v>
      </x:c>
      <x:c r="B2" s="2" t="str">
        <x:v>100 practical food entries for an India-focused tracker, including raw/cooked forms. Selection is editorial, not a measured popularity ranking.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17" t="str">
        <x:v>Units</x:v>
      </x:c>
      <x:c r="B3" s="2" t="str">
        <x:v>Macros: grams per 100 g edible food. Calories: kcal per 100 g. All weight1/2/3 values: grams, never millilitres.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4" customHeight="1">
      <x:c r="A4" s="17" t="str">
        <x:v>Carbohydrate</x:v>
      </x:c>
      <x:c r="B4" s="2" t="str">
        <x:v>Total carbohydrate including fibre. For IFCT rows, available carbohydrate + dietary fibre; USDA rows retain carbohydrate by difference. Methods are not identical.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4" customHeight="1">
      <x:c r="A5" s="17" t="str">
        <x:v>Food state</x:v>
      </x:c>
      <x:c r="B5" s="2" t="str">
        <x:v>Match raw, dry, boiled or roasted exactly. Boiled pulses are plain cooked seeds, not diluted dal curry. Oil, sauces and other recipe ingredients are additional.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17" t="str">
        <x:v>Servings</x:v>
      </x:c>
      <x:c r="B6" s="2" t="str">
        <x:v>Only recorded USDA household weights are populated. Empty cells mean no verified weight. Cup sizes and item sizes follow the source, not a universal Indian katori.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4" customHeight="1">
      <x:c r="A7" s="17" t="str">
        <x:v>Selection</x:v>
      </x:c>
      <x:c r="B7" s="2" t="str">
        <x:v>Includes protein-rich foods and staple contributors. Grain, milk and seed entries are not all high-protein foods per normal serving.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4" customHeight="1">
      <x:c r="A8" s="17" t="str">
        <x:v>Generic products</x:v>
      </x:c>
      <x:c r="B8" s="2" t="str">
        <x:v>Tofu, yogurt, bread and powders vary by brand. These generic profiles do not replace the package label. USDA foods may differ from Indian varieties.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24" customHeight="1">
      <x:c r="A9" s="17" t="str">
        <x:v>IFCT source</x:v>
      </x:c>
      <x:c r="B9" s="2" t="str">
        <x:v>Original ICMR-NIN Indian Food Composition Tables 2017, Table 1. Selected values were read from the original PDF, not copied uncritically from the community CSV.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24" customHeight="1">
      <x:c r="A10" s="17" t="str">
        <x:v>USDA source</x:v>
      </x:c>
      <x:c r="B10" s="2" t="str">
        <x:v>USDA Standard Reference Release 28 (2015). Nutrients and household weights from the SR28 database mirror: https://github.com/alyssaq/usda-sqlite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24" customHeight="1">
      <x:c r="A11" s="17" t="str">
        <x:v>Conversions</x:v>
      </x:c>
      <x:c r="B11" s="2" t="str">
        <x:v>IFCT energy is kJ; calories = kJ / 4.184. Source calories are retained, so they need not equal 4P + 4C + 9F. Prepared and raw forms are separate records.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24" customHeight="1">
      <x:c r="A12" s="17" t="str">
        <x:v>Retrieved</x:v>
      </x:c>
      <x:c r="B12" s="2" t="str">
        <x:v>2026-09-19. Source record IDs, raw values and locations below allow verification and replacement with newer or brand-specific records.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3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38" customHeight="1">
      <x:c r="A14" s="6" t="str">
        <x:v>slno.</x:v>
      </x:c>
      <x:c r="B14" s="6" t="str">
        <x:v>food</x:v>
      </x:c>
      <x:c r="C14" s="6" t="str">
        <x:v>reference</x:v>
      </x:c>
      <x:c r="D14" s="6" t="str">
        <x:v>record_id</x:v>
      </x:c>
      <x:c r="E14" s="6" t="str">
        <x:v>original_food_description</x:v>
      </x:c>
      <x:c r="F14" s="6" t="str">
        <x:v>protein_g</x:v>
      </x:c>
      <x:c r="G14" s="6" t="str">
        <x:v>source_carbs_g</x:v>
      </x:c>
      <x:c r="H14" s="6" t="str">
        <x:v>fat_g</x:v>
      </x:c>
      <x:c r="I14" s="6" t="str">
        <x:v>fibre_g</x:v>
      </x:c>
      <x:c r="J14" s="6" t="str">
        <x:v>source_energy</x:v>
      </x:c>
      <x:c r="K14" s="6" t="str">
        <x:v>energy_unit</x:v>
      </x:c>
      <x:c r="L14" s="6" t="str">
        <x:v>reference_url</x:v>
      </x:c>
      <x:c r="M14" s="6" t="str">
        <x:v>record_location</x:v>
      </x:c>
      <x:c r="N14" s="6" t="str">
        <x:v>nutrition_basis</x:v>
      </x:c>
      <x:c r="O14" s="6" t="str">
        <x:v>serving_basis</x:v>
      </x:c>
    </x:row>
    <x:row r="15" ht="62" customHeight="1">
      <x:c r="A15" s="12" t="n">
        <x:v>1</x:v>
      </x:c>
      <x:c r="B15" s="12" t="str">
        <x:v>Chana dal, dry</x:v>
      </x:c>
      <x:c r="C15" s="12" t="str">
        <x:v>ICMR-NIN IFCT 2017</x:v>
      </x:c>
      <x:c r="D15" s="12" t="str">
        <x:v>B001</x:v>
      </x:c>
      <x:c r="E15" s="12" t="str">
        <x:v>Bengal gram, dal</x:v>
      </x:c>
      <x:c r="F15" s="20" t="n">
        <x:v>21.55</x:v>
      </x:c>
      <x:c r="G15" s="20" t="n">
        <x:v>46.72</x:v>
      </x:c>
      <x:c r="H15" s="20" t="n">
        <x:v>5.31</x:v>
      </x:c>
      <x:c r="I15" s="20" t="n">
        <x:v>15.15</x:v>
      </x:c>
      <x:c r="J15" s="20" t="n">
        <x:v>1377</x:v>
      </x:c>
      <x:c r="K15" s="12" t="str">
        <x:v>kJ</x:v>
      </x:c>
      <x:c r="L15" s="12" t="str">
        <x:v>https://www.nin.res.in/ebooks/IFCT2017.pdf#page=42</x:v>
      </x:c>
      <x:c r="M15" s="12" t="str">
        <x:v>Original PDF, Table 1; PDF page 42</x:v>
      </x:c>
      <x:c r="N15" s="12" t="str">
        <x:v>Total carbs = available carbohydrate + dietary fibre; kcal = kJ / 4.184.</x:v>
      </x:c>
      <x:c r="O15" s="12" t="str">
        <x:v>No verified household weights; weigh edible portion.</x:v>
      </x:c>
    </x:row>
    <x:row r="16" ht="62" customHeight="1">
      <x:c r="A16" s="10" t="n">
        <x:v>2</x:v>
      </x:c>
      <x:c r="B16" s="10" t="str">
        <x:v>Kala chana / whole Bengal gram, dry</x:v>
      </x:c>
      <x:c r="C16" s="10" t="str">
        <x:v>ICMR-NIN IFCT 2017</x:v>
      </x:c>
      <x:c r="D16" s="10" t="str">
        <x:v>B002</x:v>
      </x:c>
      <x:c r="E16" s="10" t="str">
        <x:v>Bengal gram, whole</x:v>
      </x:c>
      <x:c r="F16" s="18" t="n">
        <x:v>18.77</x:v>
      </x:c>
      <x:c r="G16" s="18" t="n">
        <x:v>39.56</x:v>
      </x:c>
      <x:c r="H16" s="18" t="n">
        <x:v>5.11</x:v>
      </x:c>
      <x:c r="I16" s="18" t="n">
        <x:v>25.22</x:v>
      </x:c>
      <x:c r="J16" s="18" t="n">
        <x:v>1201</x:v>
      </x:c>
      <x:c r="K16" s="10" t="str">
        <x:v>kJ</x:v>
      </x:c>
      <x:c r="L16" s="10" t="str">
        <x:v>https://www.nin.res.in/ebooks/IFCT2017.pdf#page=42</x:v>
      </x:c>
      <x:c r="M16" s="10" t="str">
        <x:v>Original PDF, Table 1; PDF page 42</x:v>
      </x:c>
      <x:c r="N16" s="10" t="str">
        <x:v>Total carbs = available carbohydrate + dietary fibre; kcal = kJ / 4.184.</x:v>
      </x:c>
      <x:c r="O16" s="10" t="str">
        <x:v>No verified household weights; weigh edible portion.</x:v>
      </x:c>
    </x:row>
    <x:row r="17" ht="62" customHeight="1">
      <x:c r="A17" s="12" t="n">
        <x:v>3</x:v>
      </x:c>
      <x:c r="B17" s="12" t="str">
        <x:v>Urad dal, dry</x:v>
      </x:c>
      <x:c r="C17" s="12" t="str">
        <x:v>ICMR-NIN IFCT 2017</x:v>
      </x:c>
      <x:c r="D17" s="12" t="str">
        <x:v>B003</x:v>
      </x:c>
      <x:c r="E17" s="12" t="str">
        <x:v>Black gram, dal</x:v>
      </x:c>
      <x:c r="F17" s="20" t="n">
        <x:v>23.06</x:v>
      </x:c>
      <x:c r="G17" s="20" t="n">
        <x:v>51</x:v>
      </x:c>
      <x:c r="H17" s="20" t="n">
        <x:v>1.69</x:v>
      </x:c>
      <x:c r="I17" s="20" t="n">
        <x:v>11.93</x:v>
      </x:c>
      <x:c r="J17" s="20" t="n">
        <x:v>1356</x:v>
      </x:c>
      <x:c r="K17" s="12" t="str">
        <x:v>kJ</x:v>
      </x:c>
      <x:c r="L17" s="12" t="str">
        <x:v>https://www.nin.res.in/ebooks/IFCT2017.pdf#page=42</x:v>
      </x:c>
      <x:c r="M17" s="12" t="str">
        <x:v>Original PDF, Table 1; PDF page 42</x:v>
      </x:c>
      <x:c r="N17" s="12" t="str">
        <x:v>Total carbs = available carbohydrate + dietary fibre; kcal = kJ / 4.184.</x:v>
      </x:c>
      <x:c r="O17" s="12" t="str">
        <x:v>No verified household weights; weigh edible portion.</x:v>
      </x:c>
    </x:row>
    <x:row r="18" ht="62" customHeight="1">
      <x:c r="A18" s="10" t="n">
        <x:v>4</x:v>
      </x:c>
      <x:c r="B18" s="10" t="str">
        <x:v>Whole urad / black gram, dry</x:v>
      </x:c>
      <x:c r="C18" s="10" t="str">
        <x:v>ICMR-NIN IFCT 2017</x:v>
      </x:c>
      <x:c r="D18" s="10" t="str">
        <x:v>B004</x:v>
      </x:c>
      <x:c r="E18" s="10" t="str">
        <x:v>Black gram, whole</x:v>
      </x:c>
      <x:c r="F18" s="18" t="n">
        <x:v>21.97</x:v>
      </x:c>
      <x:c r="G18" s="18" t="n">
        <x:v>43.99</x:v>
      </x:c>
      <x:c r="H18" s="18" t="n">
        <x:v>1.58</x:v>
      </x:c>
      <x:c r="I18" s="18" t="n">
        <x:v>20.41</x:v>
      </x:c>
      <x:c r="J18" s="18" t="n">
        <x:v>1219</x:v>
      </x:c>
      <x:c r="K18" s="10" t="str">
        <x:v>kJ</x:v>
      </x:c>
      <x:c r="L18" s="10" t="str">
        <x:v>https://www.nin.res.in/ebooks/IFCT2017.pdf#page=42</x:v>
      </x:c>
      <x:c r="M18" s="10" t="str">
        <x:v>Original PDF, Table 1; PDF page 42</x:v>
      </x:c>
      <x:c r="N18" s="10" t="str">
        <x:v>Total carbs = available carbohydrate + dietary fibre; kcal = kJ / 4.184.</x:v>
      </x:c>
      <x:c r="O18" s="10" t="str">
        <x:v>No verified household weights; weigh edible portion.</x:v>
      </x:c>
    </x:row>
    <x:row r="19" ht="62" customHeight="1">
      <x:c r="A19" s="12" t="n">
        <x:v>5</x:v>
      </x:c>
      <x:c r="B19" s="12" t="str">
        <x:v>Lobia / cowpea, brown, dry</x:v>
      </x:c>
      <x:c r="C19" s="12" t="str">
        <x:v>ICMR-NIN IFCT 2017</x:v>
      </x:c>
      <x:c r="D19" s="12" t="str">
        <x:v>B005</x:v>
      </x:c>
      <x:c r="E19" s="12" t="str">
        <x:v>Cowpea, brown</x:v>
      </x:c>
      <x:c r="F19" s="20" t="n">
        <x:v>20.36</x:v>
      </x:c>
      <x:c r="G19" s="20" t="n">
        <x:v>54.62</x:v>
      </x:c>
      <x:c r="H19" s="20" t="n">
        <x:v>1.15</x:v>
      </x:c>
      <x:c r="I19" s="20" t="n">
        <x:v>11.54</x:v>
      </x:c>
      <x:c r="J19" s="20" t="n">
        <x:v>1340</x:v>
      </x:c>
      <x:c r="K19" s="12" t="str">
        <x:v>kJ</x:v>
      </x:c>
      <x:c r="L19" s="12" t="str">
        <x:v>https://www.nin.res.in/ebooks/IFCT2017.pdf#page=42</x:v>
      </x:c>
      <x:c r="M19" s="12" t="str">
        <x:v>Original PDF, Table 1; PDF page 42</x:v>
      </x:c>
      <x:c r="N19" s="12" t="str">
        <x:v>Total carbs = available carbohydrate + dietary fibre; kcal = kJ / 4.184.</x:v>
      </x:c>
      <x:c r="O19" s="12" t="str">
        <x:v>No verified household weights; weigh edible portion.</x:v>
      </x:c>
    </x:row>
    <x:row r="20" ht="62" customHeight="1">
      <x:c r="A20" s="10" t="n">
        <x:v>6</x:v>
      </x:c>
      <x:c r="B20" s="10" t="str">
        <x:v>Lobia / cowpea, white, dry</x:v>
      </x:c>
      <x:c r="C20" s="10" t="str">
        <x:v>ICMR-NIN IFCT 2017</x:v>
      </x:c>
      <x:c r="D20" s="10" t="str">
        <x:v>B006</x:v>
      </x:c>
      <x:c r="E20" s="10" t="str">
        <x:v>Cowpea, white</x:v>
      </x:c>
      <x:c r="F20" s="18" t="n">
        <x:v>21.25</x:v>
      </x:c>
      <x:c r="G20" s="18" t="n">
        <x:v>53.77</x:v>
      </x:c>
      <x:c r="H20" s="18" t="n">
        <x:v>1.14</x:v>
      </x:c>
      <x:c r="I20" s="18" t="n">
        <x:v>11.7</x:v>
      </x:c>
      <x:c r="J20" s="18" t="n">
        <x:v>1340</x:v>
      </x:c>
      <x:c r="K20" s="10" t="str">
        <x:v>kJ</x:v>
      </x:c>
      <x:c r="L20" s="10" t="str">
        <x:v>https://www.nin.res.in/ebooks/IFCT2017.pdf#page=42</x:v>
      </x:c>
      <x:c r="M20" s="10" t="str">
        <x:v>Original PDF, Table 1; PDF page 42</x:v>
      </x:c>
      <x:c r="N20" s="10" t="str">
        <x:v>Total carbs = available carbohydrate + dietary fibre; kcal = kJ / 4.184.</x:v>
      </x:c>
      <x:c r="O20" s="10" t="str">
        <x:v>No verified household weights; weigh edible portion.</x:v>
      </x:c>
    </x:row>
    <x:row r="21" ht="62" customHeight="1">
      <x:c r="A21" s="12" t="n">
        <x:v>7</x:v>
      </x:c>
      <x:c r="B21" s="12" t="str">
        <x:v>Val / field bean, white, dry</x:v>
      </x:c>
      <x:c r="C21" s="12" t="str">
        <x:v>ICMR-NIN IFCT 2017</x:v>
      </x:c>
      <x:c r="D21" s="12" t="str">
        <x:v>B009</x:v>
      </x:c>
      <x:c r="E21" s="12" t="str">
        <x:v>Field bean, white</x:v>
      </x:c>
      <x:c r="F21" s="20" t="n">
        <x:v>19.84</x:v>
      </x:c>
      <x:c r="G21" s="20" t="n">
        <x:v>44.53</x:v>
      </x:c>
      <x:c r="H21" s="20" t="n">
        <x:v>0.94</x:v>
      </x:c>
      <x:c r="I21" s="20" t="n">
        <x:v>22.99</x:v>
      </x:c>
      <x:c r="J21" s="20" t="n">
        <x:v>1173</x:v>
      </x:c>
      <x:c r="K21" s="12" t="str">
        <x:v>kJ</x:v>
      </x:c>
      <x:c r="L21" s="12" t="str">
        <x:v>https://www.nin.res.in/ebooks/IFCT2017.pdf#page=42</x:v>
      </x:c>
      <x:c r="M21" s="12" t="str">
        <x:v>Original PDF, Table 1; PDF page 42</x:v>
      </x:c>
      <x:c r="N21" s="12" t="str">
        <x:v>Total carbs = available carbohydrate + dietary fibre; kcal = kJ / 4.184.</x:v>
      </x:c>
      <x:c r="O21" s="12" t="str">
        <x:v>No verified household weights; weigh edible portion.</x:v>
      </x:c>
    </x:row>
    <x:row r="22" ht="62" customHeight="1">
      <x:c r="A22" s="10" t="n">
        <x:v>8</x:v>
      </x:c>
      <x:c r="B22" s="10" t="str">
        <x:v>Moong dal, dry</x:v>
      </x:c>
      <x:c r="C22" s="10" t="str">
        <x:v>ICMR-NIN IFCT 2017</x:v>
      </x:c>
      <x:c r="D22" s="10" t="str">
        <x:v>B010</x:v>
      </x:c>
      <x:c r="E22" s="10" t="str">
        <x:v>Green gram, dal</x:v>
      </x:c>
      <x:c r="F22" s="18" t="n">
        <x:v>23.88</x:v>
      </x:c>
      <x:c r="G22" s="18" t="n">
        <x:v>52.59</x:v>
      </x:c>
      <x:c r="H22" s="18" t="n">
        <x:v>1.35</x:v>
      </x:c>
      <x:c r="I22" s="18" t="n">
        <x:v>9.37</x:v>
      </x:c>
      <x:c r="J22" s="18" t="n">
        <x:v>1363</x:v>
      </x:c>
      <x:c r="K22" s="10" t="str">
        <x:v>kJ</x:v>
      </x:c>
      <x:c r="L22" s="10" t="str">
        <x:v>https://www.nin.res.in/ebooks/IFCT2017.pdf#page=42</x:v>
      </x:c>
      <x:c r="M22" s="10" t="str">
        <x:v>Original PDF, Table 1; PDF page 42</x:v>
      </x:c>
      <x:c r="N22" s="10" t="str">
        <x:v>Total carbs = available carbohydrate + dietary fibre; kcal = kJ / 4.184.</x:v>
      </x:c>
      <x:c r="O22" s="10" t="str">
        <x:v>No verified household weights; weigh edible portion.</x:v>
      </x:c>
    </x:row>
    <x:row r="23" ht="62" customHeight="1">
      <x:c r="A23" s="12" t="n">
        <x:v>9</x:v>
      </x:c>
      <x:c r="B23" s="12" t="str">
        <x:v>Whole green moong, dry</x:v>
      </x:c>
      <x:c r="C23" s="12" t="str">
        <x:v>ICMR-NIN IFCT 2017</x:v>
      </x:c>
      <x:c r="D23" s="12" t="str">
        <x:v>B011</x:v>
      </x:c>
      <x:c r="E23" s="12" t="str">
        <x:v>Green gram, whole</x:v>
      </x:c>
      <x:c r="F23" s="20" t="n">
        <x:v>22.53</x:v>
      </x:c>
      <x:c r="G23" s="20" t="n">
        <x:v>46.13</x:v>
      </x:c>
      <x:c r="H23" s="20" t="n">
        <x:v>1.14</x:v>
      </x:c>
      <x:c r="I23" s="20" t="n">
        <x:v>17.04</x:v>
      </x:c>
      <x:c r="J23" s="20" t="n">
        <x:v>1229</x:v>
      </x:c>
      <x:c r="K23" s="12" t="str">
        <x:v>kJ</x:v>
      </x:c>
      <x:c r="L23" s="12" t="str">
        <x:v>https://www.nin.res.in/ebooks/IFCT2017.pdf#page=42</x:v>
      </x:c>
      <x:c r="M23" s="12" t="str">
        <x:v>Original PDF, Table 1; PDF page 42</x:v>
      </x:c>
      <x:c r="N23" s="12" t="str">
        <x:v>Total carbs = available carbohydrate + dietary fibre; kcal = kJ / 4.184.</x:v>
      </x:c>
      <x:c r="O23" s="12" t="str">
        <x:v>No verified household weights; weigh edible portion.</x:v>
      </x:c>
    </x:row>
    <x:row r="24" ht="62" customHeight="1">
      <x:c r="A24" s="10" t="n">
        <x:v>10</x:v>
      </x:c>
      <x:c r="B24" s="10" t="str">
        <x:v>Kulthi / horse gram, dry</x:v>
      </x:c>
      <x:c r="C24" s="10" t="str">
        <x:v>ICMR-NIN IFCT 2017</x:v>
      </x:c>
      <x:c r="D24" s="10" t="str">
        <x:v>B012</x:v>
      </x:c>
      <x:c r="E24" s="10" t="str">
        <x:v>Horse gram, whole</x:v>
      </x:c>
      <x:c r="F24" s="18" t="n">
        <x:v>21.73</x:v>
      </x:c>
      <x:c r="G24" s="18" t="n">
        <x:v>57.24</x:v>
      </x:c>
      <x:c r="H24" s="18" t="n">
        <x:v>0.62</x:v>
      </x:c>
      <x:c r="I24" s="18" t="n">
        <x:v>7.88</x:v>
      </x:c>
      <x:c r="J24" s="18" t="n">
        <x:v>1379</x:v>
      </x:c>
      <x:c r="K24" s="10" t="str">
        <x:v>kJ</x:v>
      </x:c>
      <x:c r="L24" s="10" t="str">
        <x:v>https://www.nin.res.in/ebooks/IFCT2017.pdf#page=42</x:v>
      </x:c>
      <x:c r="M24" s="10" t="str">
        <x:v>Original PDF, Table 1; PDF page 42</x:v>
      </x:c>
      <x:c r="N24" s="10" t="str">
        <x:v>Total carbs = available carbohydrate + dietary fibre; kcal = kJ / 4.184.</x:v>
      </x:c>
      <x:c r="O24" s="10" t="str">
        <x:v>No verified household weights; weigh edible portion.</x:v>
      </x:c>
    </x:row>
    <x:row r="25" ht="62" customHeight="1">
      <x:c r="A25" s="12" t="n">
        <x:v>11</x:v>
      </x:c>
      <x:c r="B25" s="12" t="str">
        <x:v>Masoor dal, dry</x:v>
      </x:c>
      <x:c r="C25" s="12" t="str">
        <x:v>ICMR-NIN IFCT 2017</x:v>
      </x:c>
      <x:c r="D25" s="12" t="str">
        <x:v>B013</x:v>
      </x:c>
      <x:c r="E25" s="12" t="str">
        <x:v>Lentil, dal</x:v>
      </x:c>
      <x:c r="F25" s="20" t="n">
        <x:v>24.35</x:v>
      </x:c>
      <x:c r="G25" s="20" t="n">
        <x:v>52.53</x:v>
      </x:c>
      <x:c r="H25" s="20" t="n">
        <x:v>0.75</x:v>
      </x:c>
      <x:c r="I25" s="20" t="n">
        <x:v>10.43</x:v>
      </x:c>
      <x:c r="J25" s="20" t="n">
        <x:v>1349</x:v>
      </x:c>
      <x:c r="K25" s="12" t="str">
        <x:v>kJ</x:v>
      </x:c>
      <x:c r="L25" s="12" t="str">
        <x:v>https://www.nin.res.in/ebooks/IFCT2017.pdf#page=42</x:v>
      </x:c>
      <x:c r="M25" s="12" t="str">
        <x:v>Original PDF, Table 1; PDF page 42</x:v>
      </x:c>
      <x:c r="N25" s="12" t="str">
        <x:v>Total carbs = available carbohydrate + dietary fibre; kcal = kJ / 4.184.</x:v>
      </x:c>
      <x:c r="O25" s="12" t="str">
        <x:v>No verified household weights; weigh edible portion.</x:v>
      </x:c>
    </x:row>
    <x:row r="26" ht="62" customHeight="1">
      <x:c r="A26" s="10" t="n">
        <x:v>12</x:v>
      </x:c>
      <x:c r="B26" s="10" t="str">
        <x:v>Whole brown masoor, dry</x:v>
      </x:c>
      <x:c r="C26" s="10" t="str">
        <x:v>ICMR-NIN IFCT 2017</x:v>
      </x:c>
      <x:c r="D26" s="10" t="str">
        <x:v>B014</x:v>
      </x:c>
      <x:c r="E26" s="10" t="str">
        <x:v>Lentil, whole, brown</x:v>
      </x:c>
      <x:c r="F26" s="18" t="n">
        <x:v>22.49</x:v>
      </x:c>
      <x:c r="G26" s="18" t="n">
        <x:v>48.47</x:v>
      </x:c>
      <x:c r="H26" s="18" t="n">
        <x:v>0.64</x:v>
      </x:c>
      <x:c r="I26" s="18" t="n">
        <x:v>16.82</x:v>
      </x:c>
      <x:c r="J26" s="18" t="n">
        <x:v>1251</x:v>
      </x:c>
      <x:c r="K26" s="10" t="str">
        <x:v>kJ</x:v>
      </x:c>
      <x:c r="L26" s="10" t="str">
        <x:v>https://www.nin.res.in/ebooks/IFCT2017.pdf#page=43</x:v>
      </x:c>
      <x:c r="M26" s="10" t="str">
        <x:v>Original PDF, Table 1; PDF page 43</x:v>
      </x:c>
      <x:c r="N26" s="10" t="str">
        <x:v>Total carbs = available carbohydrate + dietary fibre; kcal = kJ / 4.184.</x:v>
      </x:c>
      <x:c r="O26" s="10" t="str">
        <x:v>No verified household weights; weigh edible portion.</x:v>
      </x:c>
    </x:row>
    <x:row r="27" ht="62" customHeight="1">
      <x:c r="A27" s="12" t="n">
        <x:v>13</x:v>
      </x:c>
      <x:c r="B27" s="12" t="str">
        <x:v>Matki / moth bean, dry</x:v>
      </x:c>
      <x:c r="C27" s="12" t="str">
        <x:v>ICMR-NIN IFCT 2017</x:v>
      </x:c>
      <x:c r="D27" s="12" t="str">
        <x:v>B016</x:v>
      </x:c>
      <x:c r="E27" s="12" t="str">
        <x:v>Moth bean</x:v>
      </x:c>
      <x:c r="F27" s="20" t="n">
        <x:v>19.75</x:v>
      </x:c>
      <x:c r="G27" s="20" t="n">
        <x:v>52.09</x:v>
      </x:c>
      <x:c r="H27" s="20" t="n">
        <x:v>1.76</x:v>
      </x:c>
      <x:c r="I27" s="20" t="n">
        <x:v>15.12</x:v>
      </x:c>
      <x:c r="J27" s="20" t="n">
        <x:v>1291</x:v>
      </x:c>
      <x:c r="K27" s="12" t="str">
        <x:v>kJ</x:v>
      </x:c>
      <x:c r="L27" s="12" t="str">
        <x:v>https://www.nin.res.in/ebooks/IFCT2017.pdf#page=43</x:v>
      </x:c>
      <x:c r="M27" s="12" t="str">
        <x:v>Original PDF, Table 1; PDF page 43</x:v>
      </x:c>
      <x:c r="N27" s="12" t="str">
        <x:v>Total carbs = available carbohydrate + dietary fibre; kcal = kJ / 4.184.</x:v>
      </x:c>
      <x:c r="O27" s="12" t="str">
        <x:v>No verified household weights; weigh edible portion.</x:v>
      </x:c>
    </x:row>
    <x:row r="28" ht="62" customHeight="1">
      <x:c r="A28" s="10" t="n">
        <x:v>14</x:v>
      </x:c>
      <x:c r="B28" s="10" t="str">
        <x:v>Dried peas / matar, dry</x:v>
      </x:c>
      <x:c r="C28" s="10" t="str">
        <x:v>ICMR-NIN IFCT 2017</x:v>
      </x:c>
      <x:c r="D28" s="10" t="str">
        <x:v>B017</x:v>
      </x:c>
      <x:c r="E28" s="10" t="str">
        <x:v>Peas, dry</x:v>
      </x:c>
      <x:c r="F28" s="18" t="n">
        <x:v>20.43</x:v>
      </x:c>
      <x:c r="G28" s="18" t="n">
        <x:v>48.93</x:v>
      </x:c>
      <x:c r="H28" s="18" t="n">
        <x:v>1.89</x:v>
      </x:c>
      <x:c r="I28" s="18" t="n">
        <x:v>17.01</x:v>
      </x:c>
      <x:c r="J28" s="18" t="n">
        <x:v>1269</x:v>
      </x:c>
      <x:c r="K28" s="10" t="str">
        <x:v>kJ</x:v>
      </x:c>
      <x:c r="L28" s="10" t="str">
        <x:v>https://www.nin.res.in/ebooks/IFCT2017.pdf#page=43</x:v>
      </x:c>
      <x:c r="M28" s="10" t="str">
        <x:v>Original PDF, Table 1; PDF page 43</x:v>
      </x:c>
      <x:c r="N28" s="10" t="str">
        <x:v>Total carbs = available carbohydrate + dietary fibre; kcal = kJ / 4.184.</x:v>
      </x:c>
      <x:c r="O28" s="10" t="str">
        <x:v>No verified household weights; weigh edible portion.</x:v>
      </x:c>
    </x:row>
    <x:row r="29" ht="62" customHeight="1">
      <x:c r="A29" s="12" t="n">
        <x:v>15</x:v>
      </x:c>
      <x:c r="B29" s="12" t="str">
        <x:v>Rajma, black, dry</x:v>
      </x:c>
      <x:c r="C29" s="12" t="str">
        <x:v>ICMR-NIN IFCT 2017</x:v>
      </x:c>
      <x:c r="D29" s="12" t="str">
        <x:v>B018</x:v>
      </x:c>
      <x:c r="E29" s="12" t="str">
        <x:v>Rajmah, black</x:v>
      </x:c>
      <x:c r="F29" s="20" t="n">
        <x:v>19.01</x:v>
      </x:c>
      <x:c r="G29" s="20" t="n">
        <x:v>49.59</x:v>
      </x:c>
      <x:c r="H29" s="20" t="n">
        <x:v>1.62</x:v>
      </x:c>
      <x:c r="I29" s="20" t="n">
        <x:v>17.74</x:v>
      </x:c>
      <x:c r="J29" s="20" t="n">
        <x:v>1247</x:v>
      </x:c>
      <x:c r="K29" s="12" t="str">
        <x:v>kJ</x:v>
      </x:c>
      <x:c r="L29" s="12" t="str">
        <x:v>https://www.nin.res.in/ebooks/IFCT2017.pdf#page=43</x:v>
      </x:c>
      <x:c r="M29" s="12" t="str">
        <x:v>Original PDF, Table 1; PDF page 43</x:v>
      </x:c>
      <x:c r="N29" s="12" t="str">
        <x:v>Total carbs = available carbohydrate + dietary fibre; kcal = kJ / 4.184.</x:v>
      </x:c>
      <x:c r="O29" s="12" t="str">
        <x:v>No verified household weights; weigh edible portion.</x:v>
      </x:c>
    </x:row>
    <x:row r="30" ht="62" customHeight="1">
      <x:c r="A30" s="10" t="n">
        <x:v>16</x:v>
      </x:c>
      <x:c r="B30" s="10" t="str">
        <x:v>Rajma, brown, dry</x:v>
      </x:c>
      <x:c r="C30" s="10" t="str">
        <x:v>ICMR-NIN IFCT 2017</x:v>
      </x:c>
      <x:c r="D30" s="10" t="str">
        <x:v>B019</x:v>
      </x:c>
      <x:c r="E30" s="10" t="str">
        <x:v>Rajmah, brown</x:v>
      </x:c>
      <x:c r="F30" s="18" t="n">
        <x:v>19.5</x:v>
      </x:c>
      <x:c r="G30" s="18" t="n">
        <x:v>48.83</x:v>
      </x:c>
      <x:c r="H30" s="18" t="n">
        <x:v>1.68</x:v>
      </x:c>
      <x:c r="I30" s="18" t="n">
        <x:v>16.95</x:v>
      </x:c>
      <x:c r="J30" s="18" t="n">
        <x:v>1245</x:v>
      </x:c>
      <x:c r="K30" s="10" t="str">
        <x:v>kJ</x:v>
      </x:c>
      <x:c r="L30" s="10" t="str">
        <x:v>https://www.nin.res.in/ebooks/IFCT2017.pdf#page=43</x:v>
      </x:c>
      <x:c r="M30" s="10" t="str">
        <x:v>Original PDF, Table 1; PDF page 43</x:v>
      </x:c>
      <x:c r="N30" s="10" t="str">
        <x:v>Total carbs = available carbohydrate + dietary fibre; kcal = kJ / 4.184.</x:v>
      </x:c>
      <x:c r="O30" s="10" t="str">
        <x:v>No verified household weights; weigh edible portion.</x:v>
      </x:c>
    </x:row>
    <x:row r="31" ht="62" customHeight="1">
      <x:c r="A31" s="12" t="n">
        <x:v>17</x:v>
      </x:c>
      <x:c r="B31" s="12" t="str">
        <x:v>Rajma, red, dry</x:v>
      </x:c>
      <x:c r="C31" s="12" t="str">
        <x:v>ICMR-NIN IFCT 2017</x:v>
      </x:c>
      <x:c r="D31" s="12" t="str">
        <x:v>B020</x:v>
      </x:c>
      <x:c r="E31" s="12" t="str">
        <x:v>Rajmah, red</x:v>
      </x:c>
      <x:c r="F31" s="20" t="n">
        <x:v>19.91</x:v>
      </x:c>
      <x:c r="G31" s="20" t="n">
        <x:v>48.61</x:v>
      </x:c>
      <x:c r="H31" s="20" t="n">
        <x:v>1.77</x:v>
      </x:c>
      <x:c r="I31" s="20" t="n">
        <x:v>16.57</x:v>
      </x:c>
      <x:c r="J31" s="20" t="n">
        <x:v>1252</x:v>
      </x:c>
      <x:c r="K31" s="12" t="str">
        <x:v>kJ</x:v>
      </x:c>
      <x:c r="L31" s="12" t="str">
        <x:v>https://www.nin.res.in/ebooks/IFCT2017.pdf#page=43</x:v>
      </x:c>
      <x:c r="M31" s="12" t="str">
        <x:v>Original PDF, Table 1; PDF page 43</x:v>
      </x:c>
      <x:c r="N31" s="12" t="str">
        <x:v>Total carbs = available carbohydrate + dietary fibre; kcal = kJ / 4.184.</x:v>
      </x:c>
      <x:c r="O31" s="12" t="str">
        <x:v>No verified household weights; weigh edible portion.</x:v>
      </x:c>
    </x:row>
    <x:row r="32" ht="62" customHeight="1">
      <x:c r="A32" s="10" t="n">
        <x:v>18</x:v>
      </x:c>
      <x:c r="B32" s="10" t="str">
        <x:v>Toor / arhar dal, dry</x:v>
      </x:c>
      <x:c r="C32" s="10" t="str">
        <x:v>ICMR-NIN IFCT 2017</x:v>
      </x:c>
      <x:c r="D32" s="10" t="str">
        <x:v>B021</x:v>
      </x:c>
      <x:c r="E32" s="10" t="str">
        <x:v>Red gram, dal</x:v>
      </x:c>
      <x:c r="F32" s="18" t="n">
        <x:v>21.7</x:v>
      </x:c>
      <x:c r="G32" s="18" t="n">
        <x:v>55.23</x:v>
      </x:c>
      <x:c r="H32" s="18" t="n">
        <x:v>1.56</x:v>
      </x:c>
      <x:c r="I32" s="18" t="n">
        <x:v>9.06</x:v>
      </x:c>
      <x:c r="J32" s="18" t="n">
        <x:v>1384</x:v>
      </x:c>
      <x:c r="K32" s="10" t="str">
        <x:v>kJ</x:v>
      </x:c>
      <x:c r="L32" s="10" t="str">
        <x:v>https://www.nin.res.in/ebooks/IFCT2017.pdf#page=43</x:v>
      </x:c>
      <x:c r="M32" s="10" t="str">
        <x:v>Original PDF, Table 1; PDF page 43</x:v>
      </x:c>
      <x:c r="N32" s="10" t="str">
        <x:v>Total carbs = available carbohydrate + dietary fibre; kcal = kJ / 4.184.</x:v>
      </x:c>
      <x:c r="O32" s="10" t="str">
        <x:v>No verified household weights; weigh edible portion.</x:v>
      </x:c>
    </x:row>
    <x:row r="33" ht="62" customHeight="1">
      <x:c r="A33" s="12" t="n">
        <x:v>19</x:v>
      </x:c>
      <x:c r="B33" s="12" t="str">
        <x:v>Whole pigeon peas / arhar, dry</x:v>
      </x:c>
      <x:c r="C33" s="12" t="str">
        <x:v>ICMR-NIN IFCT 2017</x:v>
      </x:c>
      <x:c r="D33" s="12" t="str">
        <x:v>B022</x:v>
      </x:c>
      <x:c r="E33" s="12" t="str">
        <x:v>Red gram, whole</x:v>
      </x:c>
      <x:c r="F33" s="20" t="n">
        <x:v>20.47</x:v>
      </x:c>
      <x:c r="G33" s="20" t="n">
        <x:v>42.48</x:v>
      </x:c>
      <x:c r="H33" s="20" t="n">
        <x:v>1.38</x:v>
      </x:c>
      <x:c r="I33" s="20" t="n">
        <x:v>22.84</x:v>
      </x:c>
      <x:c r="J33" s="20" t="n">
        <x:v>1146</x:v>
      </x:c>
      <x:c r="K33" s="12" t="str">
        <x:v>kJ</x:v>
      </x:c>
      <x:c r="L33" s="12" t="str">
        <x:v>https://www.nin.res.in/ebooks/IFCT2017.pdf#page=43</x:v>
      </x:c>
      <x:c r="M33" s="12" t="str">
        <x:v>Original PDF, Table 1; PDF page 43</x:v>
      </x:c>
      <x:c r="N33" s="12" t="str">
        <x:v>Total carbs = available carbohydrate + dietary fibre; kcal = kJ / 4.184.</x:v>
      </x:c>
      <x:c r="O33" s="12" t="str">
        <x:v>No verified household weights; weigh edible portion.</x:v>
      </x:c>
    </x:row>
    <x:row r="34" ht="62" customHeight="1">
      <x:c r="A34" s="10" t="n">
        <x:v>20</x:v>
      </x:c>
      <x:c r="B34" s="10" t="str">
        <x:v>Soybeans, white, dry</x:v>
      </x:c>
      <x:c r="C34" s="10" t="str">
        <x:v>ICMR-NIN IFCT 2017</x:v>
      </x:c>
      <x:c r="D34" s="10" t="str">
        <x:v>B025</x:v>
      </x:c>
      <x:c r="E34" s="10" t="str">
        <x:v>Soya bean, white</x:v>
      </x:c>
      <x:c r="F34" s="18" t="n">
        <x:v>37.8</x:v>
      </x:c>
      <x:c r="G34" s="18" t="n">
        <x:v>10.16</x:v>
      </x:c>
      <x:c r="H34" s="18" t="n">
        <x:v>19.42</x:v>
      </x:c>
      <x:c r="I34" s="18" t="n">
        <x:v>22.63</x:v>
      </x:c>
      <x:c r="J34" s="18" t="n">
        <x:v>1579</x:v>
      </x:c>
      <x:c r="K34" s="10" t="str">
        <x:v>kJ</x:v>
      </x:c>
      <x:c r="L34" s="10" t="str">
        <x:v>https://www.nin.res.in/ebooks/IFCT2017.pdf#page=43</x:v>
      </x:c>
      <x:c r="M34" s="10" t="str">
        <x:v>Original PDF, Table 1; PDF page 43</x:v>
      </x:c>
      <x:c r="N34" s="10" t="str">
        <x:v>Total carbs = available carbohydrate + dietary fibre; kcal = kJ / 4.184.</x:v>
      </x:c>
      <x:c r="O34" s="10" t="str">
        <x:v>No verified household weights; weigh edible portion.</x:v>
      </x:c>
    </x:row>
    <x:row r="35" ht="62" customHeight="1">
      <x:c r="A35" s="12" t="n">
        <x:v>21</x:v>
      </x:c>
      <x:c r="B35" s="12" t="str">
        <x:v>Almonds / badam, raw kernels</x:v>
      </x:c>
      <x:c r="C35" s="12" t="str">
        <x:v>ICMR-NIN IFCT 2017</x:v>
      </x:c>
      <x:c r="D35" s="12" t="str">
        <x:v>H001</x:v>
      </x:c>
      <x:c r="E35" s="12" t="str">
        <x:v>Almond</x:v>
      </x:c>
      <x:c r="F35" s="20" t="n">
        <x:v>18.41</x:v>
      </x:c>
      <x:c r="G35" s="20" t="n">
        <x:v>3.04</x:v>
      </x:c>
      <x:c r="H35" s="20" t="n">
        <x:v>58.49</x:v>
      </x:c>
      <x:c r="I35" s="20" t="n">
        <x:v>13.06</x:v>
      </x:c>
      <x:c r="J35" s="20" t="n">
        <x:v>2549</x:v>
      </x:c>
      <x:c r="K35" s="12" t="str">
        <x:v>kJ</x:v>
      </x:c>
      <x:c r="L35" s="12" t="str">
        <x:v>https://www.nin.res.in/ebooks/IFCT2017.pdf#page=55</x:v>
      </x:c>
      <x:c r="M35" s="12" t="str">
        <x:v>Original PDF, Table 1; PDF page 55</x:v>
      </x:c>
      <x:c r="N35" s="12" t="str">
        <x:v>Total carbs = available carbohydrate + dietary fibre; kcal = kJ / 4.184.</x:v>
      </x:c>
      <x:c r="O35" s="12" t="str">
        <x:v>No verified household weights; weigh edible portion.</x:v>
      </x:c>
    </x:row>
    <x:row r="36" ht="62" customHeight="1">
      <x:c r="A36" s="10" t="n">
        <x:v>22</x:v>
      </x:c>
      <x:c r="B36" s="10" t="str">
        <x:v>Cashews / kaju, raw kernels</x:v>
      </x:c>
      <x:c r="C36" s="10" t="str">
        <x:v>ICMR-NIN IFCT 2017</x:v>
      </x:c>
      <x:c r="D36" s="10" t="str">
        <x:v>H005</x:v>
      </x:c>
      <x:c r="E36" s="10" t="str">
        <x:v>Cashew nut</x:v>
      </x:c>
      <x:c r="F36" s="18" t="n">
        <x:v>18.78</x:v>
      </x:c>
      <x:c r="G36" s="18" t="n">
        <x:v>25.46</x:v>
      </x:c>
      <x:c r="H36" s="18" t="n">
        <x:v>45.2</x:v>
      </x:c>
      <x:c r="I36" s="18" t="n">
        <x:v>3.86</x:v>
      </x:c>
      <x:c r="J36" s="18" t="n">
        <x:v>2438</x:v>
      </x:c>
      <x:c r="K36" s="10" t="str">
        <x:v>kJ</x:v>
      </x:c>
      <x:c r="L36" s="10" t="str">
        <x:v>https://www.nin.res.in/ebooks/IFCT2017.pdf#page=55</x:v>
      </x:c>
      <x:c r="M36" s="10" t="str">
        <x:v>Original PDF, Table 1; PDF page 55</x:v>
      </x:c>
      <x:c r="N36" s="10" t="str">
        <x:v>Total carbs = available carbohydrate + dietary fibre; kcal = kJ / 4.184.</x:v>
      </x:c>
      <x:c r="O36" s="10" t="str">
        <x:v>No verified household weights; weigh edible portion.</x:v>
      </x:c>
    </x:row>
    <x:row r="37" ht="62" customHeight="1">
      <x:c r="A37" s="12" t="n">
        <x:v>23</x:v>
      </x:c>
      <x:c r="B37" s="12" t="str">
        <x:v>Garden cress / halim seeds, dry</x:v>
      </x:c>
      <x:c r="C37" s="12" t="str">
        <x:v>ICMR-NIN IFCT 2017</x:v>
      </x:c>
      <x:c r="D37" s="12" t="str">
        <x:v>H008</x:v>
      </x:c>
      <x:c r="E37" s="12" t="str">
        <x:v>Garden cress, seeds</x:v>
      </x:c>
      <x:c r="F37" s="20" t="n">
        <x:v>23.36</x:v>
      </x:c>
      <x:c r="G37" s="20" t="n">
        <x:v>33.66</x:v>
      </x:c>
      <x:c r="H37" s="20" t="n">
        <x:v>23.74</x:v>
      </x:c>
      <x:c r="I37" s="20" t="n">
        <x:v>8.27</x:v>
      </x:c>
      <x:c r="J37" s="20" t="n">
        <x:v>1863</x:v>
      </x:c>
      <x:c r="K37" s="12" t="str">
        <x:v>kJ</x:v>
      </x:c>
      <x:c r="L37" s="12" t="str">
        <x:v>https://www.nin.res.in/ebooks/IFCT2017.pdf#page=55</x:v>
      </x:c>
      <x:c r="M37" s="12" t="str">
        <x:v>Original PDF, Table 1; PDF page 55</x:v>
      </x:c>
      <x:c r="N37" s="12" t="str">
        <x:v>Total carbs = available carbohydrate + dietary fibre; kcal = kJ / 4.184.</x:v>
      </x:c>
      <x:c r="O37" s="12" t="str">
        <x:v>No verified household weights; weigh edible portion.</x:v>
      </x:c>
    </x:row>
    <x:row r="38" ht="62" customHeight="1">
      <x:c r="A38" s="10" t="n">
        <x:v>24</x:v>
      </x:c>
      <x:c r="B38" s="10" t="str">
        <x:v>Black sesame / kala til, dry</x:v>
      </x:c>
      <x:c r="C38" s="10" t="str">
        <x:v>ICMR-NIN IFCT 2017</x:v>
      </x:c>
      <x:c r="D38" s="10" t="str">
        <x:v>H009</x:v>
      </x:c>
      <x:c r="E38" s="10" t="str">
        <x:v>Gingelly seeds, black</x:v>
      </x:c>
      <x:c r="F38" s="18" t="n">
        <x:v>19.17</x:v>
      </x:c>
      <x:c r="G38" s="18" t="n">
        <x:v>10.29</x:v>
      </x:c>
      <x:c r="H38" s="18" t="n">
        <x:v>43.1</x:v>
      </x:c>
      <x:c r="I38" s="18" t="n">
        <x:v>17.16</x:v>
      </x:c>
      <x:c r="J38" s="18" t="n">
        <x:v>2124</x:v>
      </x:c>
      <x:c r="K38" s="10" t="str">
        <x:v>kJ</x:v>
      </x:c>
      <x:c r="L38" s="10" t="str">
        <x:v>https://www.nin.res.in/ebooks/IFCT2017.pdf#page=55</x:v>
      </x:c>
      <x:c r="M38" s="10" t="str">
        <x:v>Original PDF, Table 1; PDF page 55</x:v>
      </x:c>
      <x:c r="N38" s="10" t="str">
        <x:v>Total carbs = available carbohydrate + dietary fibre; kcal = kJ / 4.184.</x:v>
      </x:c>
      <x:c r="O38" s="10" t="str">
        <x:v>No verified household weights; weigh edible portion.</x:v>
      </x:c>
    </x:row>
    <x:row r="39" ht="62" customHeight="1">
      <x:c r="A39" s="12" t="n">
        <x:v>25</x:v>
      </x:c>
      <x:c r="B39" s="12" t="str">
        <x:v>White sesame / safed til, dry</x:v>
      </x:c>
      <x:c r="C39" s="12" t="str">
        <x:v>ICMR-NIN IFCT 2017</x:v>
      </x:c>
      <x:c r="D39" s="12" t="str">
        <x:v>H011</x:v>
      </x:c>
      <x:c r="E39" s="12" t="str">
        <x:v>Gingelly seeds, white</x:v>
      </x:c>
      <x:c r="F39" s="20" t="n">
        <x:v>21.7</x:v>
      </x:c>
      <x:c r="G39" s="20" t="n">
        <x:v>10.83</x:v>
      </x:c>
      <x:c r="H39" s="20" t="n">
        <x:v>43.05</x:v>
      </x:c>
      <x:c r="I39" s="20" t="n">
        <x:v>16.99</x:v>
      </x:c>
      <x:c r="J39" s="20" t="n">
        <x:v>2174</x:v>
      </x:c>
      <x:c r="K39" s="12" t="str">
        <x:v>kJ</x:v>
      </x:c>
      <x:c r="L39" s="12" t="str">
        <x:v>https://www.nin.res.in/ebooks/IFCT2017.pdf#page=55</x:v>
      </x:c>
      <x:c r="M39" s="12" t="str">
        <x:v>Original PDF, Table 1; PDF page 55</x:v>
      </x:c>
      <x:c r="N39" s="12" t="str">
        <x:v>Total carbs = available carbohydrate + dietary fibre; kcal = kJ / 4.184.</x:v>
      </x:c>
      <x:c r="O39" s="12" t="str">
        <x:v>No verified household weights; weigh edible portion.</x:v>
      </x:c>
    </x:row>
    <x:row r="40" ht="62" customHeight="1">
      <x:c r="A40" s="10" t="n">
        <x:v>26</x:v>
      </x:c>
      <x:c r="B40" s="10" t="str">
        <x:v>Peanuts / groundnuts, raw kernels</x:v>
      </x:c>
      <x:c r="C40" s="10" t="str">
        <x:v>ICMR-NIN IFCT 2017</x:v>
      </x:c>
      <x:c r="D40" s="10" t="str">
        <x:v>H012</x:v>
      </x:c>
      <x:c r="E40" s="10" t="str">
        <x:v>Ground nut</x:v>
      </x:c>
      <x:c r="F40" s="18" t="n">
        <x:v>23.65</x:v>
      </x:c>
      <x:c r="G40" s="18" t="n">
        <x:v>17.27</x:v>
      </x:c>
      <x:c r="H40" s="18" t="n">
        <x:v>39.63</x:v>
      </x:c>
      <x:c r="I40" s="18" t="n">
        <x:v>10.38</x:v>
      </x:c>
      <x:c r="J40" s="18" t="n">
        <x:v>2176</x:v>
      </x:c>
      <x:c r="K40" s="10" t="str">
        <x:v>kJ</x:v>
      </x:c>
      <x:c r="L40" s="10" t="str">
        <x:v>https://www.nin.res.in/ebooks/IFCT2017.pdf#page=55</x:v>
      </x:c>
      <x:c r="M40" s="10" t="str">
        <x:v>Original PDF, Table 1; PDF page 55</x:v>
      </x:c>
      <x:c r="N40" s="10" t="str">
        <x:v>Total carbs = available carbohydrate + dietary fibre; kcal = kJ / 4.184.</x:v>
      </x:c>
      <x:c r="O40" s="10" t="str">
        <x:v>No verified household weights; weigh edible portion.</x:v>
      </x:c>
    </x:row>
    <x:row r="41" ht="62" customHeight="1">
      <x:c r="A41" s="12" t="n">
        <x:v>27</x:v>
      </x:c>
      <x:c r="B41" s="12" t="str">
        <x:v>Flax seeds / alsi, dry</x:v>
      </x:c>
      <x:c r="C41" s="12" t="str">
        <x:v>ICMR-NIN IFCT 2017</x:v>
      </x:c>
      <x:c r="D41" s="12" t="str">
        <x:v>H014</x:v>
      </x:c>
      <x:c r="E41" s="12" t="str">
        <x:v>Linseeds</x:v>
      </x:c>
      <x:c r="F41" s="20" t="n">
        <x:v>18.55</x:v>
      </x:c>
      <x:c r="G41" s="20" t="n">
        <x:v>10.99</x:v>
      </x:c>
      <x:c r="H41" s="20" t="n">
        <x:v>35.67</x:v>
      </x:c>
      <x:c r="I41" s="20" t="n">
        <x:v>26.17</x:v>
      </x:c>
      <x:c r="J41" s="20" t="n">
        <x:v>1857</x:v>
      </x:c>
      <x:c r="K41" s="12" t="str">
        <x:v>kJ</x:v>
      </x:c>
      <x:c r="L41" s="12" t="str">
        <x:v>https://www.nin.res.in/ebooks/IFCT2017.pdf#page=55</x:v>
      </x:c>
      <x:c r="M41" s="12" t="str">
        <x:v>Original PDF, Table 1; PDF page 55</x:v>
      </x:c>
      <x:c r="N41" s="12" t="str">
        <x:v>Total carbs = available carbohydrate + dietary fibre; kcal = kJ / 4.184.</x:v>
      </x:c>
      <x:c r="O41" s="12" t="str">
        <x:v>No verified household weights; weigh edible portion.</x:v>
      </x:c>
    </x:row>
    <x:row r="42" ht="62" customHeight="1">
      <x:c r="A42" s="10" t="n">
        <x:v>28</x:v>
      </x:c>
      <x:c r="B42" s="10" t="str">
        <x:v>Pistachios / pista, raw kernels</x:v>
      </x:c>
      <x:c r="C42" s="10" t="str">
        <x:v>ICMR-NIN IFCT 2017</x:v>
      </x:c>
      <x:c r="D42" s="10" t="str">
        <x:v>H018</x:v>
      </x:c>
      <x:c r="E42" s="10" t="str">
        <x:v>Pistachio nuts</x:v>
      </x:c>
      <x:c r="F42" s="18" t="n">
        <x:v>23.35</x:v>
      </x:c>
      <x:c r="G42" s="18" t="n">
        <x:v>15.82</x:v>
      </x:c>
      <x:c r="H42" s="18" t="n">
        <x:v>42.49</x:v>
      </x:c>
      <x:c r="I42" s="18" t="n">
        <x:v>10.64</x:v>
      </x:c>
      <x:c r="J42" s="18" t="n">
        <x:v>2257</x:v>
      </x:c>
      <x:c r="K42" s="10" t="str">
        <x:v>kJ</x:v>
      </x:c>
      <x:c r="L42" s="10" t="str">
        <x:v>https://www.nin.res.in/ebooks/IFCT2017.pdf#page=56</x:v>
      </x:c>
      <x:c r="M42" s="10" t="str">
        <x:v>Original PDF, Table 1; PDF page 56</x:v>
      </x:c>
      <x:c r="N42" s="10" t="str">
        <x:v>Total carbs = available carbohydrate + dietary fibre; kcal = kJ / 4.184.</x:v>
      </x:c>
      <x:c r="O42" s="10" t="str">
        <x:v>No verified household weights; weigh edible portion.</x:v>
      </x:c>
    </x:row>
    <x:row r="43" ht="62" customHeight="1">
      <x:c r="A43" s="12" t="n">
        <x:v>29</x:v>
      </x:c>
      <x:c r="B43" s="12" t="str">
        <x:v>Sunflower seeds, dry kernels</x:v>
      </x:c>
      <x:c r="C43" s="12" t="str">
        <x:v>ICMR-NIN IFCT 2017</x:v>
      </x:c>
      <x:c r="D43" s="12" t="str">
        <x:v>H020</x:v>
      </x:c>
      <x:c r="E43" s="12" t="str">
        <x:v>Sunflower seeds</x:v>
      </x:c>
      <x:c r="F43" s="20" t="n">
        <x:v>23.53</x:v>
      </x:c>
      <x:c r="G43" s="20" t="n">
        <x:v>6.85</x:v>
      </x:c>
      <x:c r="H43" s="20" t="n">
        <x:v>51.85</x:v>
      </x:c>
      <x:c r="I43" s="20" t="n">
        <x:v>10.8</x:v>
      </x:c>
      <x:c r="J43" s="20" t="n">
        <x:v>2453</x:v>
      </x:c>
      <x:c r="K43" s="12" t="str">
        <x:v>kJ</x:v>
      </x:c>
      <x:c r="L43" s="12" t="str">
        <x:v>https://www.nin.res.in/ebooks/IFCT2017.pdf#page=56</x:v>
      </x:c>
      <x:c r="M43" s="12" t="str">
        <x:v>Original PDF, Table 1; PDF page 56</x:v>
      </x:c>
      <x:c r="N43" s="12" t="str">
        <x:v>Total carbs = available carbohydrate + dietary fibre; kcal = kJ / 4.184.</x:v>
      </x:c>
      <x:c r="O43" s="12" t="str">
        <x:v>No verified household weights; weigh edible portion.</x:v>
      </x:c>
    </x:row>
    <x:row r="44" ht="62" customHeight="1">
      <x:c r="A44" s="10" t="n">
        <x:v>30</x:v>
      </x:c>
      <x:c r="B44" s="10" t="str">
        <x:v>Walnuts / akhrot, raw kernels</x:v>
      </x:c>
      <x:c r="C44" s="10" t="str">
        <x:v>ICMR-NIN IFCT 2017</x:v>
      </x:c>
      <x:c r="D44" s="10" t="str">
        <x:v>H021</x:v>
      </x:c>
      <x:c r="E44" s="10" t="str">
        <x:v>Walnut</x:v>
      </x:c>
      <x:c r="F44" s="18" t="n">
        <x:v>14.92</x:v>
      </x:c>
      <x:c r="G44" s="18" t="n">
        <x:v>10.14</x:v>
      </x:c>
      <x:c r="H44" s="18" t="n">
        <x:v>64.27</x:v>
      </x:c>
      <x:c r="I44" s="18" t="n">
        <x:v>5.39</x:v>
      </x:c>
      <x:c r="J44" s="18" t="n">
        <x:v>2809</x:v>
      </x:c>
      <x:c r="K44" s="10" t="str">
        <x:v>kJ</x:v>
      </x:c>
      <x:c r="L44" s="10" t="str">
        <x:v>https://www.nin.res.in/ebooks/IFCT2017.pdf#page=56</x:v>
      </x:c>
      <x:c r="M44" s="10" t="str">
        <x:v>Original PDF, Table 1; PDF page 56</x:v>
      </x:c>
      <x:c r="N44" s="10" t="str">
        <x:v>Total carbs = available carbohydrate + dietary fibre; kcal = kJ / 4.184.</x:v>
      </x:c>
      <x:c r="O44" s="10" t="str">
        <x:v>No verified household weights; weigh edible portion.</x:v>
      </x:c>
    </x:row>
    <x:row r="45" ht="62" customHeight="1">
      <x:c r="A45" s="12" t="n">
        <x:v>31</x:v>
      </x:c>
      <x:c r="B45" s="12" t="str">
        <x:v>Amaranth / rajgira, pale brown grain, dry</x:v>
      </x:c>
      <x:c r="C45" s="12" t="str">
        <x:v>ICMR-NIN IFCT 2017</x:v>
      </x:c>
      <x:c r="D45" s="12" t="str">
        <x:v>A002</x:v>
      </x:c>
      <x:c r="E45" s="12" t="str">
        <x:v>Amaranth seed, pale brown</x:v>
      </x:c>
      <x:c r="F45" s="20" t="n">
        <x:v>13.27</x:v>
      </x:c>
      <x:c r="G45" s="20" t="n">
        <x:v>61.46</x:v>
      </x:c>
      <x:c r="H45" s="20" t="n">
        <x:v>5.56</x:v>
      </x:c>
      <x:c r="I45" s="20" t="n">
        <x:v>7.47</x:v>
      </x:c>
      <x:c r="J45" s="20" t="n">
        <x:v>1489</x:v>
      </x:c>
      <x:c r="K45" s="12" t="str">
        <x:v>kJ</x:v>
      </x:c>
      <x:c r="L45" s="12" t="str">
        <x:v>https://www.nin.res.in/ebooks/IFCT2017.pdf#page=41</x:v>
      </x:c>
      <x:c r="M45" s="12" t="str">
        <x:v>Original PDF, Table 1; PDF page 41</x:v>
      </x:c>
      <x:c r="N45" s="12" t="str">
        <x:v>Total carbs = available carbohydrate + dietary fibre; kcal = kJ / 4.184.</x:v>
      </x:c>
      <x:c r="O45" s="12" t="str">
        <x:v>No verified household weights; weigh edible portion.</x:v>
      </x:c>
    </x:row>
    <x:row r="46" ht="62" customHeight="1">
      <x:c r="A46" s="10" t="n">
        <x:v>32</x:v>
      </x:c>
      <x:c r="B46" s="10" t="str">
        <x:v>Bajra / pearl millet, grain, dry</x:v>
      </x:c>
      <x:c r="C46" s="10" t="str">
        <x:v>ICMR-NIN IFCT 2017</x:v>
      </x:c>
      <x:c r="D46" s="10" t="str">
        <x:v>A003</x:v>
      </x:c>
      <x:c r="E46" s="10" t="str">
        <x:v>Bajra</x:v>
      </x:c>
      <x:c r="F46" s="18" t="n">
        <x:v>10.96</x:v>
      </x:c>
      <x:c r="G46" s="18" t="n">
        <x:v>61.78</x:v>
      </x:c>
      <x:c r="H46" s="18" t="n">
        <x:v>5.43</x:v>
      </x:c>
      <x:c r="I46" s="18" t="n">
        <x:v>11.49</x:v>
      </x:c>
      <x:c r="J46" s="18" t="n">
        <x:v>1456</x:v>
      </x:c>
      <x:c r="K46" s="10" t="str">
        <x:v>kJ</x:v>
      </x:c>
      <x:c r="L46" s="10" t="str">
        <x:v>https://www.nin.res.in/ebooks/IFCT2017.pdf#page=41</x:v>
      </x:c>
      <x:c r="M46" s="10" t="str">
        <x:v>Original PDF, Table 1; PDF page 41</x:v>
      </x:c>
      <x:c r="N46" s="10" t="str">
        <x:v>Total carbs = available carbohydrate + dietary fibre; kcal = kJ / 4.184.</x:v>
      </x:c>
      <x:c r="O46" s="10" t="str">
        <x:v>No verified household weights; weigh edible portion.</x:v>
      </x:c>
    </x:row>
    <x:row r="47" ht="62" customHeight="1">
      <x:c r="A47" s="12" t="n">
        <x:v>33</x:v>
      </x:c>
      <x:c r="B47" s="12" t="str">
        <x:v>Barley / jau, grain, dry</x:v>
      </x:c>
      <x:c r="C47" s="12" t="str">
        <x:v>ICMR-NIN IFCT 2017</x:v>
      </x:c>
      <x:c r="D47" s="12" t="str">
        <x:v>A004</x:v>
      </x:c>
      <x:c r="E47" s="12" t="str">
        <x:v>Barley</x:v>
      </x:c>
      <x:c r="F47" s="20" t="n">
        <x:v>10.94</x:v>
      </x:c>
      <x:c r="G47" s="20" t="n">
        <x:v>61.29</x:v>
      </x:c>
      <x:c r="H47" s="20" t="n">
        <x:v>1.3</x:v>
      </x:c>
      <x:c r="I47" s="20" t="n">
        <x:v>15.64</x:v>
      </x:c>
      <x:c r="J47" s="20" t="n">
        <x:v>1321</x:v>
      </x:c>
      <x:c r="K47" s="12" t="str">
        <x:v>kJ</x:v>
      </x:c>
      <x:c r="L47" s="12" t="str">
        <x:v>https://www.nin.res.in/ebooks/IFCT2017.pdf#page=41</x:v>
      </x:c>
      <x:c r="M47" s="12" t="str">
        <x:v>Original PDF, Table 1; PDF page 41</x:v>
      </x:c>
      <x:c r="N47" s="12" t="str">
        <x:v>Total carbs = available carbohydrate + dietary fibre; kcal = kJ / 4.184.</x:v>
      </x:c>
      <x:c r="O47" s="12" t="str">
        <x:v>No verified household weights; weigh edible portion.</x:v>
      </x:c>
    </x:row>
    <x:row r="48" ht="62" customHeight="1">
      <x:c r="A48" s="10" t="n">
        <x:v>34</x:v>
      </x:c>
      <x:c r="B48" s="10" t="str">
        <x:v>Jowar / sorghum, grain, dry</x:v>
      </x:c>
      <x:c r="C48" s="10" t="str">
        <x:v>ICMR-NIN IFCT 2017</x:v>
      </x:c>
      <x:c r="D48" s="10" t="str">
        <x:v>A005</x:v>
      </x:c>
      <x:c r="E48" s="10" t="str">
        <x:v>Jowar</x:v>
      </x:c>
      <x:c r="F48" s="18" t="n">
        <x:v>9.97</x:v>
      </x:c>
      <x:c r="G48" s="18" t="n">
        <x:v>67.68</x:v>
      </x:c>
      <x:c r="H48" s="18" t="n">
        <x:v>1.73</x:v>
      </x:c>
      <x:c r="I48" s="18" t="n">
        <x:v>10.22</x:v>
      </x:c>
      <x:c r="J48" s="18" t="n">
        <x:v>1398</x:v>
      </x:c>
      <x:c r="K48" s="10" t="str">
        <x:v>kJ</x:v>
      </x:c>
      <x:c r="L48" s="10" t="str">
        <x:v>https://www.nin.res.in/ebooks/IFCT2017.pdf#page=41</x:v>
      </x:c>
      <x:c r="M48" s="10" t="str">
        <x:v>Original PDF, Table 1; PDF page 41</x:v>
      </x:c>
      <x:c r="N48" s="10" t="str">
        <x:v>Total carbs = available carbohydrate + dietary fibre; kcal = kJ / 4.184.</x:v>
      </x:c>
      <x:c r="O48" s="10" t="str">
        <x:v>No verified household weights; weigh edible portion.</x:v>
      </x:c>
    </x:row>
    <x:row r="49" ht="62" customHeight="1">
      <x:c r="A49" s="12" t="n">
        <x:v>35</x:v>
      </x:c>
      <x:c r="B49" s="12" t="str">
        <x:v>Quinoa, grain, dry</x:v>
      </x:c>
      <x:c r="C49" s="12" t="str">
        <x:v>ICMR-NIN IFCT 2017</x:v>
      </x:c>
      <x:c r="D49" s="12" t="str">
        <x:v>A009</x:v>
      </x:c>
      <x:c r="E49" s="12" t="str">
        <x:v>Quinoa</x:v>
      </x:c>
      <x:c r="F49" s="20" t="n">
        <x:v>13.11</x:v>
      </x:c>
      <x:c r="G49" s="20" t="n">
        <x:v>53.65</x:v>
      </x:c>
      <x:c r="H49" s="20" t="n">
        <x:v>5.5</x:v>
      </x:c>
      <x:c r="I49" s="20" t="n">
        <x:v>14.66</x:v>
      </x:c>
      <x:c r="J49" s="20" t="n">
        <x:v>1374</x:v>
      </x:c>
      <x:c r="K49" s="12" t="str">
        <x:v>kJ</x:v>
      </x:c>
      <x:c r="L49" s="12" t="str">
        <x:v>https://www.nin.res.in/ebooks/IFCT2017.pdf#page=41</x:v>
      </x:c>
      <x:c r="M49" s="12" t="str">
        <x:v>Original PDF, Table 1; PDF page 41</x:v>
      </x:c>
      <x:c r="N49" s="12" t="str">
        <x:v>Total carbs = available carbohydrate + dietary fibre; kcal = kJ / 4.184.</x:v>
      </x:c>
      <x:c r="O49" s="12" t="str">
        <x:v>No verified household weights; weigh edible portion.</x:v>
      </x:c>
    </x:row>
    <x:row r="50" ht="62" customHeight="1">
      <x:c r="A50" s="10" t="n">
        <x:v>36</x:v>
      </x:c>
      <x:c r="B50" s="10" t="str">
        <x:v>Ragi / finger millet, grain, dry</x:v>
      </x:c>
      <x:c r="C50" s="10" t="str">
        <x:v>ICMR-NIN IFCT 2017</x:v>
      </x:c>
      <x:c r="D50" s="10" t="str">
        <x:v>A010</x:v>
      </x:c>
      <x:c r="E50" s="10" t="str">
        <x:v>Ragi</x:v>
      </x:c>
      <x:c r="F50" s="18" t="n">
        <x:v>7.16</x:v>
      </x:c>
      <x:c r="G50" s="18" t="n">
        <x:v>66.82</x:v>
      </x:c>
      <x:c r="H50" s="18" t="n">
        <x:v>1.92</x:v>
      </x:c>
      <x:c r="I50" s="18" t="n">
        <x:v>11.18</x:v>
      </x:c>
      <x:c r="J50" s="18" t="n">
        <x:v>1342</x:v>
      </x:c>
      <x:c r="K50" s="10" t="str">
        <x:v>kJ</x:v>
      </x:c>
      <x:c r="L50" s="10" t="str">
        <x:v>https://www.nin.res.in/ebooks/IFCT2017.pdf#page=41</x:v>
      </x:c>
      <x:c r="M50" s="10" t="str">
        <x:v>Original PDF, Table 1; PDF page 41</x:v>
      </x:c>
      <x:c r="N50" s="10" t="str">
        <x:v>Total carbs = available carbohydrate + dietary fibre; kcal = kJ / 4.184.</x:v>
      </x:c>
      <x:c r="O50" s="10" t="str">
        <x:v>No verified household weights; weigh edible portion.</x:v>
      </x:c>
    </x:row>
    <x:row r="51" ht="62" customHeight="1">
      <x:c r="A51" s="12" t="n">
        <x:v>37</x:v>
      </x:c>
      <x:c r="B51" s="12" t="str">
        <x:v>Little millet / samai, grain, dry</x:v>
      </x:c>
      <x:c r="C51" s="12" t="str">
        <x:v>ICMR-NIN IFCT 2017</x:v>
      </x:c>
      <x:c r="D51" s="12" t="str">
        <x:v>A016</x:v>
      </x:c>
      <x:c r="E51" s="12" t="str">
        <x:v>Samai</x:v>
      </x:c>
      <x:c r="F51" s="20" t="n">
        <x:v>10.13</x:v>
      </x:c>
      <x:c r="G51" s="20" t="n">
        <x:v>65.55</x:v>
      </x:c>
      <x:c r="H51" s="20" t="n">
        <x:v>3.89</x:v>
      </x:c>
      <x:c r="I51" s="20" t="n">
        <x:v>7.72</x:v>
      </x:c>
      <x:c r="J51" s="20" t="n">
        <x:v>1449</x:v>
      </x:c>
      <x:c r="K51" s="12" t="str">
        <x:v>kJ</x:v>
      </x:c>
      <x:c r="L51" s="12" t="str">
        <x:v>https://www.nin.res.in/ebooks/IFCT2017.pdf#page=41</x:v>
      </x:c>
      <x:c r="M51" s="12" t="str">
        <x:v>Original PDF, Table 1; PDF page 41</x:v>
      </x:c>
      <x:c r="N51" s="12" t="str">
        <x:v>Total carbs = available carbohydrate + dietary fibre; kcal = kJ / 4.184.</x:v>
      </x:c>
      <x:c r="O51" s="12" t="str">
        <x:v>No verified household weights; weigh edible portion.</x:v>
      </x:c>
    </x:row>
    <x:row r="52" ht="62" customHeight="1">
      <x:c r="A52" s="10" t="n">
        <x:v>38</x:v>
      </x:c>
      <x:c r="B52" s="10" t="str">
        <x:v>Whole wheat atta, dry</x:v>
      </x:c>
      <x:c r="C52" s="10" t="str">
        <x:v>ICMR-NIN IFCT 2017</x:v>
      </x:c>
      <x:c r="D52" s="10" t="str">
        <x:v>A019</x:v>
      </x:c>
      <x:c r="E52" s="10" t="str">
        <x:v>Wheat flour, atta</x:v>
      </x:c>
      <x:c r="F52" s="18" t="n">
        <x:v>10.57</x:v>
      </x:c>
      <x:c r="G52" s="18" t="n">
        <x:v>64.17</x:v>
      </x:c>
      <x:c r="H52" s="18" t="n">
        <x:v>1.53</x:v>
      </x:c>
      <x:c r="I52" s="18" t="n">
        <x:v>11.36</x:v>
      </x:c>
      <x:c r="J52" s="18" t="n">
        <x:v>1340</x:v>
      </x:c>
      <x:c r="K52" s="10" t="str">
        <x:v>kJ</x:v>
      </x:c>
      <x:c r="L52" s="10" t="str">
        <x:v>https://www.nin.res.in/ebooks/IFCT2017.pdf#page=42</x:v>
      </x:c>
      <x:c r="M52" s="10" t="str">
        <x:v>Original PDF, Table 1; PDF page 42</x:v>
      </x:c>
      <x:c r="N52" s="10" t="str">
        <x:v>Total carbs = available carbohydrate + dietary fibre; kcal = kJ / 4.184.</x:v>
      </x:c>
      <x:c r="O52" s="10" t="str">
        <x:v>No verified household weights; weigh edible portion.</x:v>
      </x:c>
    </x:row>
    <x:row r="53" ht="62" customHeight="1">
      <x:c r="A53" s="12" t="n">
        <x:v>39</x:v>
      </x:c>
      <x:c r="B53" s="12" t="str">
        <x:v>Daliya / bulgur wheat, dry</x:v>
      </x:c>
      <x:c r="C53" s="12" t="str">
        <x:v>ICMR-NIN IFCT 2017</x:v>
      </x:c>
      <x:c r="D53" s="12" t="str">
        <x:v>A021</x:v>
      </x:c>
      <x:c r="E53" s="12" t="str">
        <x:v>Wheat, bulgur</x:v>
      </x:c>
      <x:c r="F53" s="20" t="n">
        <x:v>10.84</x:v>
      </x:c>
      <x:c r="G53" s="20" t="n">
        <x:v>69.06</x:v>
      </x:c>
      <x:c r="H53" s="20" t="n">
        <x:v>1.45</x:v>
      </x:c>
      <x:c r="I53" s="20" t="n">
        <x:v>8.81</x:v>
      </x:c>
      <x:c r="J53" s="20" t="n">
        <x:v>1430</x:v>
      </x:c>
      <x:c r="K53" s="12" t="str">
        <x:v>kJ</x:v>
      </x:c>
      <x:c r="L53" s="12" t="str">
        <x:v>https://www.nin.res.in/ebooks/IFCT2017.pdf#page=42</x:v>
      </x:c>
      <x:c r="M53" s="12" t="str">
        <x:v>Original PDF, Table 1; PDF page 42</x:v>
      </x:c>
      <x:c r="N53" s="12" t="str">
        <x:v>Total carbs = available carbohydrate + dietary fibre; kcal = kJ / 4.184.</x:v>
      </x:c>
      <x:c r="O53" s="12" t="str">
        <x:v>No verified household weights; weigh edible portion.</x:v>
      </x:c>
    </x:row>
    <x:row r="54" ht="62" customHeight="1">
      <x:c r="A54" s="10" t="n">
        <x:v>40</x:v>
      </x:c>
      <x:c r="B54" s="10" t="str">
        <x:v>Sooji / semolina, dry</x:v>
      </x:c>
      <x:c r="C54" s="10" t="str">
        <x:v>ICMR-NIN IFCT 2017</x:v>
      </x:c>
      <x:c r="D54" s="10" t="str">
        <x:v>A022</x:v>
      </x:c>
      <x:c r="E54" s="10" t="str">
        <x:v>Wheat, semolina</x:v>
      </x:c>
      <x:c r="F54" s="18" t="n">
        <x:v>11.38</x:v>
      </x:c>
      <x:c r="G54" s="18" t="n">
        <x:v>68.43</x:v>
      </x:c>
      <x:c r="H54" s="18" t="n">
        <x:v>0.74</x:v>
      </x:c>
      <x:c r="I54" s="18" t="n">
        <x:v>9.72</x:v>
      </x:c>
      <x:c r="J54" s="18" t="n">
        <x:v>1396</x:v>
      </x:c>
      <x:c r="K54" s="10" t="str">
        <x:v>kJ</x:v>
      </x:c>
      <x:c r="L54" s="10" t="str">
        <x:v>https://www.nin.res.in/ebooks/IFCT2017.pdf#page=42</x:v>
      </x:c>
      <x:c r="M54" s="10" t="str">
        <x:v>Original PDF, Table 1; PDF page 42</x:v>
      </x:c>
      <x:c r="N54" s="10" t="str">
        <x:v>Total carbs = available carbohydrate + dietary fibre; kcal = kJ / 4.184.</x:v>
      </x:c>
      <x:c r="O54" s="10" t="str">
        <x:v>No verified household weights; weigh edible portion.</x:v>
      </x:c>
    </x:row>
    <x:row r="55" ht="62" customHeight="1">
      <x:c r="A55" s="12" t="n">
        <x:v>41</x:v>
      </x:c>
      <x:c r="B55" s="12" t="str">
        <x:v>Buffalo milk, whole</x:v>
      </x:c>
      <x:c r="C55" s="12" t="str">
        <x:v>ICMR-NIN IFCT 2017</x:v>
      </x:c>
      <x:c r="D55" s="12" t="str">
        <x:v>L001</x:v>
      </x:c>
      <x:c r="E55" s="12" t="str">
        <x:v>Milk, whole, Buffalo</x:v>
      </x:c>
      <x:c r="F55" s="20" t="n">
        <x:v>3.68</x:v>
      </x:c>
      <x:c r="G55" s="20" t="n">
        <x:v>8.39</x:v>
      </x:c>
      <x:c r="H55" s="20" t="n">
        <x:v>6.58</x:v>
      </x:c>
      <x:c r="I55" s="20" t="n">
        <x:v>0</x:v>
      </x:c>
      <x:c r="J55" s="20" t="n">
        <x:v>449</x:v>
      </x:c>
      <x:c r="K55" s="12" t="str">
        <x:v>kJ</x:v>
      </x:c>
      <x:c r="L55" s="12" t="str">
        <x:v>https://www.nin.res.in/ebooks/IFCT2017.pdf#page=57</x:v>
      </x:c>
      <x:c r="M55" s="12" t="str">
        <x:v>Original PDF, Table 1; PDF page 57</x:v>
      </x:c>
      <x:c r="N55" s="12" t="str">
        <x:v>Total carbs = available carbohydrate + dietary fibre; kcal = kJ / 4.184.</x:v>
      </x:c>
      <x:c r="O55" s="12" t="str">
        <x:v>No verified household weights; weigh edible portion.</x:v>
      </x:c>
    </x:row>
    <x:row r="56" ht="62" customHeight="1">
      <x:c r="A56" s="10" t="n">
        <x:v>42</x:v>
      </x:c>
      <x:c r="B56" s="10" t="str">
        <x:v>Cow milk, whole</x:v>
      </x:c>
      <x:c r="C56" s="10" t="str">
        <x:v>ICMR-NIN IFCT 2017</x:v>
      </x:c>
      <x:c r="D56" s="10" t="str">
        <x:v>L002</x:v>
      </x:c>
      <x:c r="E56" s="10" t="str">
        <x:v>Milk, whole, Cow</x:v>
      </x:c>
      <x:c r="F56" s="18" t="n">
        <x:v>3.26</x:v>
      </x:c>
      <x:c r="G56" s="18" t="n">
        <x:v>4.94</x:v>
      </x:c>
      <x:c r="H56" s="18" t="n">
        <x:v>4.48</x:v>
      </x:c>
      <x:c r="I56" s="18" t="n">
        <x:v>0</x:v>
      </x:c>
      <x:c r="J56" s="18" t="n">
        <x:v>305</x:v>
      </x:c>
      <x:c r="K56" s="10" t="str">
        <x:v>kJ</x:v>
      </x:c>
      <x:c r="L56" s="10" t="str">
        <x:v>https://www.nin.res.in/ebooks/IFCT2017.pdf#page=57</x:v>
      </x:c>
      <x:c r="M56" s="10" t="str">
        <x:v>Original PDF, Table 1; PDF page 57</x:v>
      </x:c>
      <x:c r="N56" s="10" t="str">
        <x:v>Total carbs = available carbohydrate + dietary fibre; kcal = kJ / 4.184.</x:v>
      </x:c>
      <x:c r="O56" s="10" t="str">
        <x:v>No verified household weights; weigh edible portion.</x:v>
      </x:c>
    </x:row>
    <x:row r="57" ht="62" customHeight="1">
      <x:c r="A57" s="12" t="n">
        <x:v>43</x:v>
      </x:c>
      <x:c r="B57" s="12" t="str">
        <x:v>Paneer, plain</x:v>
      </x:c>
      <x:c r="C57" s="12" t="str">
        <x:v>ICMR-NIN IFCT 2017</x:v>
      </x:c>
      <x:c r="D57" s="12" t="str">
        <x:v>L003</x:v>
      </x:c>
      <x:c r="E57" s="12" t="str">
        <x:v>Paneer</x:v>
      </x:c>
      <x:c r="F57" s="20" t="n">
        <x:v>18.86</x:v>
      </x:c>
      <x:c r="G57" s="20" t="n">
        <x:v>2.41</x:v>
      </x:c>
      <x:c r="H57" s="20" t="n">
        <x:v>24.78</x:v>
      </x:c>
      <x:c r="I57" s="20" t="n">
        <x:v>0</x:v>
      </x:c>
      <x:c r="J57" s="20" t="n">
        <x:v>1278</x:v>
      </x:c>
      <x:c r="K57" s="12" t="str">
        <x:v>kJ</x:v>
      </x:c>
      <x:c r="L57" s="12" t="str">
        <x:v>https://www.nin.res.in/ebooks/IFCT2017.pdf#page=57</x:v>
      </x:c>
      <x:c r="M57" s="12" t="str">
        <x:v>Original PDF, Table 1; PDF page 57</x:v>
      </x:c>
      <x:c r="N57" s="12" t="str">
        <x:v>Total carbs = available carbohydrate + dietary fibre; kcal = kJ / 4.184.</x:v>
      </x:c>
      <x:c r="O57" s="12" t="str">
        <x:v>No verified household weights; weigh edible portion.</x:v>
      </x:c>
    </x:row>
    <x:row r="58" ht="62" customHeight="1">
      <x:c r="A58" s="10" t="n">
        <x:v>44</x:v>
      </x:c>
      <x:c r="B58" s="10" t="str">
        <x:v>Khoya / khoa, unsweetened</x:v>
      </x:c>
      <x:c r="C58" s="10" t="str">
        <x:v>ICMR-NIN IFCT 2017</x:v>
      </x:c>
      <x:c r="D58" s="10" t="str">
        <x:v>L004</x:v>
      </x:c>
      <x:c r="E58" s="10" t="str">
        <x:v>Khoa</x:v>
      </x:c>
      <x:c r="F58" s="18" t="n">
        <x:v>16.34</x:v>
      </x:c>
      <x:c r="G58" s="18" t="n">
        <x:v>16.53</x:v>
      </x:c>
      <x:c r="H58" s="18" t="n">
        <x:v>20.62</x:v>
      </x:c>
      <x:c r="I58" s="18" t="n">
        <x:v>0</x:v>
      </x:c>
      <x:c r="J58" s="18" t="n">
        <x:v>1322</x:v>
      </x:c>
      <x:c r="K58" s="10" t="str">
        <x:v>kJ</x:v>
      </x:c>
      <x:c r="L58" s="10" t="str">
        <x:v>https://www.nin.res.in/ebooks/IFCT2017.pdf#page=57</x:v>
      </x:c>
      <x:c r="M58" s="10" t="str">
        <x:v>Original PDF, Table 1; PDF page 57</x:v>
      </x:c>
      <x:c r="N58" s="10" t="str">
        <x:v>Total carbs = available carbohydrate + dietary fibre; kcal = kJ / 4.184.</x:v>
      </x:c>
      <x:c r="O58" s="10" t="str">
        <x:v>No verified household weights; weigh edible portion.</x:v>
      </x:c>
    </x:row>
    <x:row r="59" ht="62" customHeight="1">
      <x:c r="A59" s="12" t="n">
        <x:v>45</x:v>
      </x:c>
      <x:c r="B59" s="12" t="str">
        <x:v>Green peas / matar, fresh, raw</x:v>
      </x:c>
      <x:c r="C59" s="12" t="str">
        <x:v>ICMR-NIN IFCT 2017</x:v>
      </x:c>
      <x:c r="D59" s="12" t="str">
        <x:v>D061</x:v>
      </x:c>
      <x:c r="E59" s="12" t="str">
        <x:v>Peas, fresh</x:v>
      </x:c>
      <x:c r="F59" s="20" t="n">
        <x:v>7.25</x:v>
      </x:c>
      <x:c r="G59" s="20" t="n">
        <x:v>11.88</x:v>
      </x:c>
      <x:c r="H59" s="20" t="n">
        <x:v>0.13</x:v>
      </x:c>
      <x:c r="I59" s="20" t="n">
        <x:v>6.32</x:v>
      </x:c>
      <x:c r="J59" s="20" t="n">
        <x:v>340</x:v>
      </x:c>
      <x:c r="K59" s="12" t="str">
        <x:v>kJ</x:v>
      </x:c>
      <x:c r="L59" s="12" t="str">
        <x:v>https://www.nin.res.in/ebooks/IFCT2017.pdf#page=48</x:v>
      </x:c>
      <x:c r="M59" s="12" t="str">
        <x:v>Original PDF, Table 1; PDF page 48</x:v>
      </x:c>
      <x:c r="N59" s="12" t="str">
        <x:v>Total carbs = available carbohydrate + dietary fibre; kcal = kJ / 4.184.</x:v>
      </x:c>
      <x:c r="O59" s="12" t="str">
        <x:v>No verified household weights; weigh edible portion.</x:v>
      </x:c>
    </x:row>
    <x:row r="60" ht="62" customHeight="1">
      <x:c r="A60" s="10" t="n">
        <x:v>46</x:v>
      </x:c>
      <x:c r="B60" s="10" t="str">
        <x:v>Curd / plain whole-milk yogurt</x:v>
      </x:c>
      <x:c r="C60" s="10" t="str">
        <x:v>USDA SR28 (2015)</x:v>
      </x:c>
      <x:c r="D60" s="10" t="str">
        <x:v>NDB 01116</x:v>
      </x:c>
      <x:c r="E60" s="10" t="str">
        <x:v>Yogurt, plain, whole milk, 8 grams protein per 8 ounce</x:v>
      </x:c>
      <x:c r="F60" s="18" t="n">
        <x:v>3.47</x:v>
      </x:c>
      <x:c r="G60" s="18" t="n">
        <x:v>4.66</x:v>
      </x:c>
      <x:c r="H60" s="18" t="n">
        <x:v>3.25</x:v>
      </x:c>
      <x:c r="I60" s="18" t="n">
        <x:v>0</x:v>
      </x:c>
      <x:c r="J60" s="18" t="n">
        <x:v>61</x:v>
      </x:c>
      <x:c r="K60" s="10" t="str">
        <x:v>kcal</x:v>
      </x:c>
      <x:c r="L60" s="10" t="str">
        <x:v>https://fdc.nal.usda.gov/</x:v>
      </x:c>
      <x:c r="M60" s="10" t="str">
        <x:v>SR28 record 01116; nutrients 203,205,204,208; weight table</x:v>
      </x:c>
      <x:c r="N60" s="10" t="str">
        <x:v>Carbs = USDA total carbohydrate. Generic reference, not an Indian brand label.</x:v>
      </x:c>
      <x:c r="O60" s="10" t="str">
        <x:v>USDA SR28 recorded measures; edible grams. Sizes and brands vary.</x:v>
      </x:c>
    </x:row>
    <x:row r="61" ht="62" customHeight="1">
      <x:c r="A61" s="12" t="n">
        <x:v>47</x:v>
      </x:c>
      <x:c r="B61" s="12" t="str">
        <x:v>Plain low-fat yogurt</x:v>
      </x:c>
      <x:c r="C61" s="12" t="str">
        <x:v>USDA SR28 (2015)</x:v>
      </x:c>
      <x:c r="D61" s="12" t="str">
        <x:v>NDB 01117</x:v>
      </x:c>
      <x:c r="E61" s="12" t="str">
        <x:v>Yogurt, plain, low fat, 12 grams protein per 8 ounce</x:v>
      </x:c>
      <x:c r="F61" s="20" t="n">
        <x:v>5.25</x:v>
      </x:c>
      <x:c r="G61" s="20" t="n">
        <x:v>7.04</x:v>
      </x:c>
      <x:c r="H61" s="20" t="n">
        <x:v>1.55</x:v>
      </x:c>
      <x:c r="I61" s="20" t="n">
        <x:v>0</x:v>
      </x:c>
      <x:c r="J61" s="20" t="n">
        <x:v>63</x:v>
      </x:c>
      <x:c r="K61" s="12" t="str">
        <x:v>kcal</x:v>
      </x:c>
      <x:c r="L61" s="12" t="str">
        <x:v>https://fdc.nal.usda.gov/</x:v>
      </x:c>
      <x:c r="M61" s="12" t="str">
        <x:v>SR28 record 01117; nutrients 203,205,204,208; weight table</x:v>
      </x:c>
      <x:c r="N61" s="12" t="str">
        <x:v>Carbs = USDA total carbohydrate. Generic reference, not an Indian brand label.</x:v>
      </x:c>
      <x:c r="O61" s="12" t="str">
        <x:v>USDA SR28 recorded measures; edible grams. Sizes and brands vary.</x:v>
      </x:c>
    </x:row>
    <x:row r="62" ht="62" customHeight="1">
      <x:c r="A62" s="10" t="n">
        <x:v>48</x:v>
      </x:c>
      <x:c r="B62" s="10" t="str">
        <x:v>Plain skim-milk yogurt</x:v>
      </x:c>
      <x:c r="C62" s="10" t="str">
        <x:v>USDA SR28 (2015)</x:v>
      </x:c>
      <x:c r="D62" s="10" t="str">
        <x:v>NDB 01118</x:v>
      </x:c>
      <x:c r="E62" s="10" t="str">
        <x:v>Yogurt, plain, skim milk, 13 grams protein per 8 ounce</x:v>
      </x:c>
      <x:c r="F62" s="18" t="n">
        <x:v>5.73</x:v>
      </x:c>
      <x:c r="G62" s="18" t="n">
        <x:v>7.68</x:v>
      </x:c>
      <x:c r="H62" s="18" t="n">
        <x:v>0.18</x:v>
      </x:c>
      <x:c r="I62" s="18" t="n">
        <x:v>0</x:v>
      </x:c>
      <x:c r="J62" s="18" t="n">
        <x:v>56</x:v>
      </x:c>
      <x:c r="K62" s="10" t="str">
        <x:v>kcal</x:v>
      </x:c>
      <x:c r="L62" s="10" t="str">
        <x:v>https://fdc.nal.usda.gov/</x:v>
      </x:c>
      <x:c r="M62" s="10" t="str">
        <x:v>SR28 record 01118; nutrients 203,205,204,208; weight table</x:v>
      </x:c>
      <x:c r="N62" s="10" t="str">
        <x:v>Carbs = USDA total carbohydrate. Generic reference, not an Indian brand label.</x:v>
      </x:c>
      <x:c r="O62" s="10" t="str">
        <x:v>USDA SR28 recorded measures; edible grams. Sizes and brands vary.</x:v>
      </x:c>
    </x:row>
    <x:row r="63" ht="62" customHeight="1">
      <x:c r="A63" s="12" t="n">
        <x:v>49</x:v>
      </x:c>
      <x:c r="B63" s="12" t="str">
        <x:v>Greek yogurt, plain, nonfat</x:v>
      </x:c>
      <x:c r="C63" s="12" t="str">
        <x:v>USDA SR28 (2015)</x:v>
      </x:c>
      <x:c r="D63" s="12" t="str">
        <x:v>NDB 01256</x:v>
      </x:c>
      <x:c r="E63" s="12" t="str">
        <x:v>Yogurt, Greek, plain, nonfat</x:v>
      </x:c>
      <x:c r="F63" s="20" t="n">
        <x:v>10.19</x:v>
      </x:c>
      <x:c r="G63" s="20" t="n">
        <x:v>3.6</x:v>
      </x:c>
      <x:c r="H63" s="20" t="n">
        <x:v>0.39</x:v>
      </x:c>
      <x:c r="I63" s="20" t="n">
        <x:v>0</x:v>
      </x:c>
      <x:c r="J63" s="20" t="n">
        <x:v>59</x:v>
      </x:c>
      <x:c r="K63" s="12" t="str">
        <x:v>kcal</x:v>
      </x:c>
      <x:c r="L63" s="12" t="str">
        <x:v>https://fdc.nal.usda.gov/</x:v>
      </x:c>
      <x:c r="M63" s="12" t="str">
        <x:v>SR28 record 01256; nutrients 203,205,204,208; weight table</x:v>
      </x:c>
      <x:c r="N63" s="12" t="str">
        <x:v>Carbs = USDA total carbohydrate. Generic reference, not an Indian brand label.</x:v>
      </x:c>
      <x:c r="O63" s="12" t="str">
        <x:v>USDA SR28 recorded measures; edible grams. Sizes and brands vary.</x:v>
      </x:c>
    </x:row>
    <x:row r="64" ht="62" customHeight="1">
      <x:c r="A64" s="10" t="n">
        <x:v>50</x:v>
      </x:c>
      <x:c r="B64" s="10" t="str">
        <x:v>Skim milk, fluid</x:v>
      </x:c>
      <x:c r="C64" s="10" t="str">
        <x:v>USDA SR28 (2015)</x:v>
      </x:c>
      <x:c r="D64" s="10" t="str">
        <x:v>NDB 01085</x:v>
      </x:c>
      <x:c r="E64" s="10" t="str">
        <x:v>Milk, nonfat, fluid, with added vitamin A and vitamin D (fat free or skim)</x:v>
      </x:c>
      <x:c r="F64" s="18" t="n">
        <x:v>3.37</x:v>
      </x:c>
      <x:c r="G64" s="18" t="n">
        <x:v>4.96</x:v>
      </x:c>
      <x:c r="H64" s="18" t="n">
        <x:v>0.08</x:v>
      </x:c>
      <x:c r="I64" s="18" t="n">
        <x:v>0</x:v>
      </x:c>
      <x:c r="J64" s="18" t="n">
        <x:v>34</x:v>
      </x:c>
      <x:c r="K64" s="10" t="str">
        <x:v>kcal</x:v>
      </x:c>
      <x:c r="L64" s="10" t="str">
        <x:v>https://fdc.nal.usda.gov/</x:v>
      </x:c>
      <x:c r="M64" s="10" t="str">
        <x:v>SR28 record 01085; nutrients 203,205,204,208; weight table</x:v>
      </x:c>
      <x:c r="N64" s="10" t="str">
        <x:v>Carbs = USDA total carbohydrate. Generic reference, not an Indian brand label.</x:v>
      </x:c>
      <x:c r="O64" s="10" t="str">
        <x:v>USDA SR28 recorded measures; edible grams. Sizes and brands vary.</x:v>
      </x:c>
    </x:row>
    <x:row r="65" ht="62" customHeight="1">
      <x:c r="A65" s="12" t="n">
        <x:v>51</x:v>
      </x:c>
      <x:c r="B65" s="12" t="str">
        <x:v>Cheddar cheese</x:v>
      </x:c>
      <x:c r="C65" s="12" t="str">
        <x:v>USDA SR28 (2015)</x:v>
      </x:c>
      <x:c r="D65" s="12" t="str">
        <x:v>NDB 01009</x:v>
      </x:c>
      <x:c r="E65" s="12" t="str">
        <x:v>Cheese, cheddar</x:v>
      </x:c>
      <x:c r="F65" s="20" t="n">
        <x:v>22.87</x:v>
      </x:c>
      <x:c r="G65" s="20" t="n">
        <x:v>3.09</x:v>
      </x:c>
      <x:c r="H65" s="20" t="n">
        <x:v>33.31</x:v>
      </x:c>
      <x:c r="I65" s="20" t="n">
        <x:v>0</x:v>
      </x:c>
      <x:c r="J65" s="20" t="n">
        <x:v>404</x:v>
      </x:c>
      <x:c r="K65" s="12" t="str">
        <x:v>kcal</x:v>
      </x:c>
      <x:c r="L65" s="12" t="str">
        <x:v>https://fdc.nal.usda.gov/</x:v>
      </x:c>
      <x:c r="M65" s="12" t="str">
        <x:v>SR28 record 01009; nutrients 203,205,204,208; weight table</x:v>
      </x:c>
      <x:c r="N65" s="12" t="str">
        <x:v>Carbs = USDA total carbohydrate. Generic reference, not an Indian brand label.</x:v>
      </x:c>
      <x:c r="O65" s="12" t="str">
        <x:v>USDA SR28 recorded measures; edible grams. Sizes and brands vary.</x:v>
      </x:c>
    </x:row>
    <x:row r="66" ht="62" customHeight="1">
      <x:c r="A66" s="10" t="n">
        <x:v>52</x:v>
      </x:c>
      <x:c r="B66" s="10" t="str">
        <x:v>Mozzarella cheese, whole milk</x:v>
      </x:c>
      <x:c r="C66" s="10" t="str">
        <x:v>USDA SR28 (2015)</x:v>
      </x:c>
      <x:c r="D66" s="10" t="str">
        <x:v>NDB 01026</x:v>
      </x:c>
      <x:c r="E66" s="10" t="str">
        <x:v>Cheese, mozzarella, whole milk</x:v>
      </x:c>
      <x:c r="F66" s="18" t="n">
        <x:v>22.17</x:v>
      </x:c>
      <x:c r="G66" s="18" t="n">
        <x:v>2.19</x:v>
      </x:c>
      <x:c r="H66" s="18" t="n">
        <x:v>22.35</x:v>
      </x:c>
      <x:c r="I66" s="18" t="n">
        <x:v>0</x:v>
      </x:c>
      <x:c r="J66" s="18" t="n">
        <x:v>300</x:v>
      </x:c>
      <x:c r="K66" s="10" t="str">
        <x:v>kcal</x:v>
      </x:c>
      <x:c r="L66" s="10" t="str">
        <x:v>https://fdc.nal.usda.gov/</x:v>
      </x:c>
      <x:c r="M66" s="10" t="str">
        <x:v>SR28 record 01026; nutrients 203,205,204,208; weight table</x:v>
      </x:c>
      <x:c r="N66" s="10" t="str">
        <x:v>Carbs = USDA total carbohydrate. Generic reference, not an Indian brand label.</x:v>
      </x:c>
      <x:c r="O66" s="10" t="str">
        <x:v>USDA SR28 recorded measures; edible grams. Sizes and brands vary.</x:v>
      </x:c>
    </x:row>
    <x:row r="67" ht="62" customHeight="1">
      <x:c r="A67" s="12" t="n">
        <x:v>53</x:v>
      </x:c>
      <x:c r="B67" s="12" t="str">
        <x:v>Mozzarella cheese, part skim</x:v>
      </x:c>
      <x:c r="C67" s="12" t="str">
        <x:v>USDA SR28 (2015)</x:v>
      </x:c>
      <x:c r="D67" s="12" t="str">
        <x:v>NDB 01028</x:v>
      </x:c>
      <x:c r="E67" s="12" t="str">
        <x:v>Cheese, mozzarella, part skim milk</x:v>
      </x:c>
      <x:c r="F67" s="20" t="n">
        <x:v>24.26</x:v>
      </x:c>
      <x:c r="G67" s="20" t="n">
        <x:v>2.77</x:v>
      </x:c>
      <x:c r="H67" s="20" t="n">
        <x:v>15.92</x:v>
      </x:c>
      <x:c r="I67" s="20" t="n">
        <x:v>0</x:v>
      </x:c>
      <x:c r="J67" s="20" t="n">
        <x:v>254</x:v>
      </x:c>
      <x:c r="K67" s="12" t="str">
        <x:v>kcal</x:v>
      </x:c>
      <x:c r="L67" s="12" t="str">
        <x:v>https://fdc.nal.usda.gov/</x:v>
      </x:c>
      <x:c r="M67" s="12" t="str">
        <x:v>SR28 record 01028; nutrients 203,205,204,208; weight table</x:v>
      </x:c>
      <x:c r="N67" s="12" t="str">
        <x:v>Carbs = USDA total carbohydrate. Generic reference, not an Indian brand label.</x:v>
      </x:c>
      <x:c r="O67" s="12" t="str">
        <x:v>USDA SR28 recorded measures; edible grams. Sizes and brands vary.</x:v>
      </x:c>
    </x:row>
    <x:row r="68" ht="62" customHeight="1">
      <x:c r="A68" s="10" t="n">
        <x:v>54</x:v>
      </x:c>
      <x:c r="B68" s="10" t="str">
        <x:v>Skim milk powder, regular</x:v>
      </x:c>
      <x:c r="C68" s="10" t="str">
        <x:v>USDA SR28 (2015)</x:v>
      </x:c>
      <x:c r="D68" s="10" t="str">
        <x:v>NDB 01091</x:v>
      </x:c>
      <x:c r="E68" s="10" t="str">
        <x:v>Milk, dry, nonfat, regular, without added vitamin A and vitamin D</x:v>
      </x:c>
      <x:c r="F68" s="18" t="n">
        <x:v>36.16</x:v>
      </x:c>
      <x:c r="G68" s="18" t="n">
        <x:v>51.98</x:v>
      </x:c>
      <x:c r="H68" s="18" t="n">
        <x:v>0.77</x:v>
      </x:c>
      <x:c r="I68" s="18" t="n">
        <x:v>0</x:v>
      </x:c>
      <x:c r="J68" s="18" t="n">
        <x:v>362</x:v>
      </x:c>
      <x:c r="K68" s="10" t="str">
        <x:v>kcal</x:v>
      </x:c>
      <x:c r="L68" s="10" t="str">
        <x:v>https://fdc.nal.usda.gov/</x:v>
      </x:c>
      <x:c r="M68" s="10" t="str">
        <x:v>SR28 record 01091; nutrients 203,205,204,208; weight table</x:v>
      </x:c>
      <x:c r="N68" s="10" t="str">
        <x:v>Carbs = USDA total carbohydrate. Generic reference, not an Indian brand label.</x:v>
      </x:c>
      <x:c r="O68" s="10" t="str">
        <x:v>USDA SR28 recorded measures; edible grams. Sizes and brands vary.</x:v>
      </x:c>
    </x:row>
    <x:row r="69" ht="62" customHeight="1">
      <x:c r="A69" s="12" t="n">
        <x:v>55</x:v>
      </x:c>
      <x:c r="B69" s="12" t="str">
        <x:v>Whole milk powder</x:v>
      </x:c>
      <x:c r="C69" s="12" t="str">
        <x:v>USDA SR28 (2015)</x:v>
      </x:c>
      <x:c r="D69" s="12" t="str">
        <x:v>NDB 01090</x:v>
      </x:c>
      <x:c r="E69" s="12" t="str">
        <x:v>Milk, dry, whole, with added vitamin D</x:v>
      </x:c>
      <x:c r="F69" s="20" t="n">
        <x:v>26.32</x:v>
      </x:c>
      <x:c r="G69" s="20" t="n">
        <x:v>38.42</x:v>
      </x:c>
      <x:c r="H69" s="20" t="n">
        <x:v>26.71</x:v>
      </x:c>
      <x:c r="I69" s="20" t="n">
        <x:v>0</x:v>
      </x:c>
      <x:c r="J69" s="20" t="n">
        <x:v>496</x:v>
      </x:c>
      <x:c r="K69" s="12" t="str">
        <x:v>kcal</x:v>
      </x:c>
      <x:c r="L69" s="12" t="str">
        <x:v>https://fdc.nal.usda.gov/</x:v>
      </x:c>
      <x:c r="M69" s="12" t="str">
        <x:v>SR28 record 01090; nutrients 203,205,204,208; weight table</x:v>
      </x:c>
      <x:c r="N69" s="12" t="str">
        <x:v>Carbs = USDA total carbohydrate. Generic reference, not an Indian brand label.</x:v>
      </x:c>
      <x:c r="O69" s="12" t="str">
        <x:v>USDA SR28 recorded measures; edible grams. Sizes and brands vary.</x:v>
      </x:c>
    </x:row>
    <x:row r="70" ht="62" customHeight="1">
      <x:c r="A70" s="10" t="n">
        <x:v>56</x:v>
      </x:c>
      <x:c r="B70" s="10" t="str">
        <x:v>Whey-isolate drink powder, USDA formulation</x:v>
      </x:c>
      <x:c r="C70" s="10" t="str">
        <x:v>USDA SR28 (2015)</x:v>
      </x:c>
      <x:c r="D70" s="10" t="str">
        <x:v>NDB 14058</x:v>
      </x:c>
      <x:c r="E70" s="10" t="str">
        <x:v>Beverages, Whey protein powder isolate</x:v>
      </x:c>
      <x:c r="F70" s="18" t="n">
        <x:v>58.14</x:v>
      </x:c>
      <x:c r="G70" s="18" t="n">
        <x:v>29.07</x:v>
      </x:c>
      <x:c r="H70" s="18" t="n">
        <x:v>1.16</x:v>
      </x:c>
      <x:c r="I70" s="18" t="n">
        <x:v>0</x:v>
      </x:c>
      <x:c r="J70" s="18" t="n">
        <x:v>359</x:v>
      </x:c>
      <x:c r="K70" s="10" t="str">
        <x:v>kcal</x:v>
      </x:c>
      <x:c r="L70" s="10" t="str">
        <x:v>https://fdc.nal.usda.gov/</x:v>
      </x:c>
      <x:c r="M70" s="10" t="str">
        <x:v>SR28 record 14058; nutrients 203,205,204,208; weight table</x:v>
      </x:c>
      <x:c r="N70" s="10" t="str">
        <x:v>Carbs = USDA total carbohydrate. Generic reference, not an Indian brand label.</x:v>
      </x:c>
      <x:c r="O70" s="10" t="str">
        <x:v>USDA SR28 recorded measures; edible grams. Sizes and brands vary.</x:v>
      </x:c>
    </x:row>
    <x:row r="71" ht="62" customHeight="1">
      <x:c r="A71" s="12" t="n">
        <x:v>57</x:v>
      </x:c>
      <x:c r="B71" s="12" t="str">
        <x:v>Whey-based protein powder, generic</x:v>
      </x:c>
      <x:c r="C71" s="12" t="str">
        <x:v>USDA SR28 (2015)</x:v>
      </x:c>
      <x:c r="D71" s="12" t="str">
        <x:v>NDB 14066</x:v>
      </x:c>
      <x:c r="E71" s="12" t="str">
        <x:v>Beverages, Protein powder whey based</x:v>
      </x:c>
      <x:c r="F71" s="20" t="n">
        <x:v>78.13</x:v>
      </x:c>
      <x:c r="G71" s="20" t="n">
        <x:v>6.25</x:v>
      </x:c>
      <x:c r="H71" s="20" t="n">
        <x:v>1.56</x:v>
      </x:c>
      <x:c r="I71" s="20" t="n">
        <x:v>3.1</x:v>
      </x:c>
      <x:c r="J71" s="20" t="n">
        <x:v>352</x:v>
      </x:c>
      <x:c r="K71" s="12" t="str">
        <x:v>kcal</x:v>
      </x:c>
      <x:c r="L71" s="12" t="str">
        <x:v>https://fdc.nal.usda.gov/</x:v>
      </x:c>
      <x:c r="M71" s="12" t="str">
        <x:v>SR28 record 14066; nutrients 203,205,204,208; weight table</x:v>
      </x:c>
      <x:c r="N71" s="12" t="str">
        <x:v>Carbs = USDA total carbohydrate. Generic reference, not an Indian brand label.</x:v>
      </x:c>
      <x:c r="O71" s="12" t="str">
        <x:v>USDA SR28 recorded measures; edible grams. Sizes and brands vary.</x:v>
      </x:c>
    </x:row>
    <x:row r="72" ht="62" customHeight="1">
      <x:c r="A72" s="10" t="n">
        <x:v>58</x:v>
      </x:c>
      <x:c r="B72" s="10" t="str">
        <x:v>Tofu, firm, calcium sulfate and nigari</x:v>
      </x:c>
      <x:c r="C72" s="10" t="str">
        <x:v>USDA SR28 (2015)</x:v>
      </x:c>
      <x:c r="D72" s="10" t="str">
        <x:v>NDB 16126</x:v>
      </x:c>
      <x:c r="E72" s="10" t="str">
        <x:v>Tofu, firm, prepared with calcium sulfate and magnesium chloride (nigari)</x:v>
      </x:c>
      <x:c r="F72" s="18" t="n">
        <x:v>9.04</x:v>
      </x:c>
      <x:c r="G72" s="18" t="n">
        <x:v>2.85</x:v>
      </x:c>
      <x:c r="H72" s="18" t="n">
        <x:v>4.17</x:v>
      </x:c>
      <x:c r="I72" s="18" t="n">
        <x:v>0.9</x:v>
      </x:c>
      <x:c r="J72" s="18" t="n">
        <x:v>78</x:v>
      </x:c>
      <x:c r="K72" s="10" t="str">
        <x:v>kcal</x:v>
      </x:c>
      <x:c r="L72" s="10" t="str">
        <x:v>https://fdc.nal.usda.gov/</x:v>
      </x:c>
      <x:c r="M72" s="10" t="str">
        <x:v>SR28 record 16126; nutrients 203,205,204,208; weight table</x:v>
      </x:c>
      <x:c r="N72" s="10" t="str">
        <x:v>Carbs = USDA total carbohydrate. Generic reference, not an Indian brand label.</x:v>
      </x:c>
      <x:c r="O72" s="10" t="str">
        <x:v>USDA SR28 recorded measures; edible grams. Sizes and brands vary.</x:v>
      </x:c>
    </x:row>
    <x:row r="73" ht="62" customHeight="1">
      <x:c r="A73" s="12" t="n">
        <x:v>59</x:v>
      </x:c>
      <x:c r="B73" s="12" t="str">
        <x:v>Tofu, soft, calcium sulfate and nigari</x:v>
      </x:c>
      <x:c r="C73" s="12" t="str">
        <x:v>USDA SR28 (2015)</x:v>
      </x:c>
      <x:c r="D73" s="12" t="str">
        <x:v>NDB 16127</x:v>
      </x:c>
      <x:c r="E73" s="12" t="str">
        <x:v>Tofu, soft, prepared with calcium sulfate and magnesium chloride (nigari)</x:v>
      </x:c>
      <x:c r="F73" s="20" t="n">
        <x:v>7.17</x:v>
      </x:c>
      <x:c r="G73" s="20" t="n">
        <x:v>1.18</x:v>
      </x:c>
      <x:c r="H73" s="20" t="n">
        <x:v>3.69</x:v>
      </x:c>
      <x:c r="I73" s="20" t="n">
        <x:v>0.2</x:v>
      </x:c>
      <x:c r="J73" s="20" t="n">
        <x:v>61</x:v>
      </x:c>
      <x:c r="K73" s="12" t="str">
        <x:v>kcal</x:v>
      </x:c>
      <x:c r="L73" s="12" t="str">
        <x:v>https://fdc.nal.usda.gov/</x:v>
      </x:c>
      <x:c r="M73" s="12" t="str">
        <x:v>SR28 record 16127; nutrients 203,205,204,208; weight table</x:v>
      </x:c>
      <x:c r="N73" s="12" t="str">
        <x:v>Carbs = USDA total carbohydrate. Generic reference, not an Indian brand label.</x:v>
      </x:c>
      <x:c r="O73" s="12" t="str">
        <x:v>USDA SR28 recorded measures; edible grams. Sizes and brands vary.</x:v>
      </x:c>
    </x:row>
    <x:row r="74" ht="62" customHeight="1">
      <x:c r="A74" s="10" t="n">
        <x:v>60</x:v>
      </x:c>
      <x:c r="B74" s="10" t="str">
        <x:v>Tofu, extra firm, nigari</x:v>
      </x:c>
      <x:c r="C74" s="10" t="str">
        <x:v>USDA SR28 (2015)</x:v>
      </x:c>
      <x:c r="D74" s="10" t="str">
        <x:v>NDB 16159</x:v>
      </x:c>
      <x:c r="E74" s="10" t="str">
        <x:v>Tofu, extra firm, prepared with nigari</x:v>
      </x:c>
      <x:c r="F74" s="18" t="n">
        <x:v>9.98</x:v>
      </x:c>
      <x:c r="G74" s="18" t="n">
        <x:v>1.18</x:v>
      </x:c>
      <x:c r="H74" s="18" t="n">
        <x:v>5.26</x:v>
      </x:c>
      <x:c r="I74" s="18" t="n">
        <x:v>1</x:v>
      </x:c>
      <x:c r="J74" s="18" t="n">
        <x:v>83</x:v>
      </x:c>
      <x:c r="K74" s="10" t="str">
        <x:v>kcal</x:v>
      </x:c>
      <x:c r="L74" s="10" t="str">
        <x:v>https://fdc.nal.usda.gov/</x:v>
      </x:c>
      <x:c r="M74" s="10" t="str">
        <x:v>SR28 record 16159; nutrients 203,205,204,208; weight table</x:v>
      </x:c>
      <x:c r="N74" s="10" t="str">
        <x:v>Carbs = USDA total carbohydrate. Generic reference, not an Indian brand label.</x:v>
      </x:c>
      <x:c r="O74" s="10" t="str">
        <x:v>USDA SR28 recorded measures; edible grams. Sizes and brands vary.</x:v>
      </x:c>
    </x:row>
    <x:row r="75" ht="62" customHeight="1">
      <x:c r="A75" s="12" t="n">
        <x:v>61</x:v>
      </x:c>
      <x:c r="B75" s="12" t="str">
        <x:v>Soybeans, boiled, no salt</x:v>
      </x:c>
      <x:c r="C75" s="12" t="str">
        <x:v>USDA SR28 (2015)</x:v>
      </x:c>
      <x:c r="D75" s="12" t="str">
        <x:v>NDB 16109</x:v>
      </x:c>
      <x:c r="E75" s="12" t="str">
        <x:v>Soybeans, mature cooked, boiled, without salt</x:v>
      </x:c>
      <x:c r="F75" s="20" t="n">
        <x:v>18.21</x:v>
      </x:c>
      <x:c r="G75" s="20" t="n">
        <x:v>8.36</x:v>
      </x:c>
      <x:c r="H75" s="20" t="n">
        <x:v>8.97</x:v>
      </x:c>
      <x:c r="I75" s="20" t="n">
        <x:v>6</x:v>
      </x:c>
      <x:c r="J75" s="20" t="n">
        <x:v>172</x:v>
      </x:c>
      <x:c r="K75" s="12" t="str">
        <x:v>kcal</x:v>
      </x:c>
      <x:c r="L75" s="12" t="str">
        <x:v>https://fdc.nal.usda.gov/</x:v>
      </x:c>
      <x:c r="M75" s="12" t="str">
        <x:v>SR28 record 16109; nutrients 203,205,204,208; weight table</x:v>
      </x:c>
      <x:c r="N75" s="12" t="str">
        <x:v>Carbs = USDA total carbohydrate. Generic reference, not an Indian brand label.</x:v>
      </x:c>
      <x:c r="O75" s="12" t="str">
        <x:v>USDA SR28 recorded measures; edible grams. Sizes and brands vary.</x:v>
      </x:c>
    </x:row>
    <x:row r="76" ht="62" customHeight="1">
      <x:c r="A76" s="10" t="n">
        <x:v>62</x:v>
      </x:c>
      <x:c r="B76" s="10" t="str">
        <x:v>Soybeans, roasted, salted</x:v>
      </x:c>
      <x:c r="C76" s="10" t="str">
        <x:v>USDA SR28 (2015)</x:v>
      </x:c>
      <x:c r="D76" s="10" t="str">
        <x:v>NDB 16110</x:v>
      </x:c>
      <x:c r="E76" s="10" t="str">
        <x:v>Soybeans, mature seeds, roasted, salted</x:v>
      </x:c>
      <x:c r="F76" s="18" t="n">
        <x:v>38.55</x:v>
      </x:c>
      <x:c r="G76" s="18" t="n">
        <x:v>30.22</x:v>
      </x:c>
      <x:c r="H76" s="18" t="n">
        <x:v>25.4</x:v>
      </x:c>
      <x:c r="I76" s="18" t="n">
        <x:v>17.7</x:v>
      </x:c>
      <x:c r="J76" s="18" t="n">
        <x:v>469</x:v>
      </x:c>
      <x:c r="K76" s="10" t="str">
        <x:v>kcal</x:v>
      </x:c>
      <x:c r="L76" s="10" t="str">
        <x:v>https://fdc.nal.usda.gov/</x:v>
      </x:c>
      <x:c r="M76" s="10" t="str">
        <x:v>SR28 record 16110; nutrients 203,205,204,208; weight table</x:v>
      </x:c>
      <x:c r="N76" s="10" t="str">
        <x:v>Carbs = USDA total carbohydrate. Generic reference, not an Indian brand label.</x:v>
      </x:c>
      <x:c r="O76" s="10" t="str">
        <x:v>USDA SR28 recorded measures; edible grams. Sizes and brands vary.</x:v>
      </x:c>
    </x:row>
    <x:row r="77" ht="62" customHeight="1">
      <x:c r="A77" s="12" t="n">
        <x:v>63</x:v>
      </x:c>
      <x:c r="B77" s="12" t="str">
        <x:v>Tempeh, cooked</x:v>
      </x:c>
      <x:c r="C77" s="12" t="str">
        <x:v>USDA SR28 (2015)</x:v>
      </x:c>
      <x:c r="D77" s="12" t="str">
        <x:v>NDB 16174</x:v>
      </x:c>
      <x:c r="E77" s="12" t="str">
        <x:v>Tempeh, cooked</x:v>
      </x:c>
      <x:c r="F77" s="20" t="n">
        <x:v>19.91</x:v>
      </x:c>
      <x:c r="G77" s="20" t="n">
        <x:v>7.62</x:v>
      </x:c>
      <x:c r="H77" s="20" t="n">
        <x:v>11.38</x:v>
      </x:c>
      <x:c r="I77" s="20"/>
      <x:c r="J77" s="20" t="n">
        <x:v>195</x:v>
      </x:c>
      <x:c r="K77" s="12" t="str">
        <x:v>kcal</x:v>
      </x:c>
      <x:c r="L77" s="12" t="str">
        <x:v>https://fdc.nal.usda.gov/</x:v>
      </x:c>
      <x:c r="M77" s="12" t="str">
        <x:v>SR28 record 16174; nutrients 203,205,204,208; weight table</x:v>
      </x:c>
      <x:c r="N77" s="12" t="str">
        <x:v>Carbs = USDA total carbohydrate. Generic reference, not an Indian brand label.</x:v>
      </x:c>
      <x:c r="O77" s="12" t="str">
        <x:v>USDA SR28 recorded measures; edible grams. Sizes and brands vary.</x:v>
      </x:c>
    </x:row>
    <x:row r="78" ht="62" customHeight="1">
      <x:c r="A78" s="10" t="n">
        <x:v>64</x:v>
      </x:c>
      <x:c r="B78" s="10" t="str">
        <x:v>Edamame, shelled, prepared</x:v>
      </x:c>
      <x:c r="C78" s="10" t="str">
        <x:v>USDA SR28 (2015)</x:v>
      </x:c>
      <x:c r="D78" s="10" t="str">
        <x:v>NDB 11212</x:v>
      </x:c>
      <x:c r="E78" s="10" t="str">
        <x:v>Edamame, frozen, prepared</x:v>
      </x:c>
      <x:c r="F78" s="18" t="n">
        <x:v>11.91</x:v>
      </x:c>
      <x:c r="G78" s="18" t="n">
        <x:v>8.91</x:v>
      </x:c>
      <x:c r="H78" s="18" t="n">
        <x:v>5.2</x:v>
      </x:c>
      <x:c r="I78" s="18" t="n">
        <x:v>5.2</x:v>
      </x:c>
      <x:c r="J78" s="18" t="n">
        <x:v>121</x:v>
      </x:c>
      <x:c r="K78" s="10" t="str">
        <x:v>kcal</x:v>
      </x:c>
      <x:c r="L78" s="10" t="str">
        <x:v>https://fdc.nal.usda.gov/</x:v>
      </x:c>
      <x:c r="M78" s="10" t="str">
        <x:v>SR28 record 11212; nutrients 203,205,204,208; weight table</x:v>
      </x:c>
      <x:c r="N78" s="10" t="str">
        <x:v>Carbs = USDA total carbohydrate. Generic reference, not an Indian brand label.</x:v>
      </x:c>
      <x:c r="O78" s="10" t="str">
        <x:v>USDA SR28 recorded measures; edible grams. Sizes and brands vary.</x:v>
      </x:c>
    </x:row>
    <x:row r="79" ht="62" customHeight="1">
      <x:c r="A79" s="12" t="n">
        <x:v>65</x:v>
      </x:c>
      <x:c r="B79" s="12" t="str">
        <x:v>Soy milk, unsweetened, fortified</x:v>
      </x:c>
      <x:c r="C79" s="12" t="str">
        <x:v>USDA SR28 (2015)</x:v>
      </x:c>
      <x:c r="D79" s="12" t="str">
        <x:v>NDB 16222</x:v>
      </x:c>
      <x:c r="E79" s="12" t="str">
        <x:v>Soymilk (all flavors), unsweetened, with added calcium, vitamins A and D</x:v>
      </x:c>
      <x:c r="F79" s="20" t="n">
        <x:v>2.86</x:v>
      </x:c>
      <x:c r="G79" s="20" t="n">
        <x:v>1.74</x:v>
      </x:c>
      <x:c r="H79" s="20" t="n">
        <x:v>1.61</x:v>
      </x:c>
      <x:c r="I79" s="20" t="n">
        <x:v>0.5</x:v>
      </x:c>
      <x:c r="J79" s="20" t="n">
        <x:v>33</x:v>
      </x:c>
      <x:c r="K79" s="12" t="str">
        <x:v>kcal</x:v>
      </x:c>
      <x:c r="L79" s="12" t="str">
        <x:v>https://fdc.nal.usda.gov/</x:v>
      </x:c>
      <x:c r="M79" s="12" t="str">
        <x:v>SR28 record 16222; nutrients 203,205,204,208; weight table</x:v>
      </x:c>
      <x:c r="N79" s="12" t="str">
        <x:v>Carbs = USDA total carbohydrate. Generic reference, not an Indian brand label.</x:v>
      </x:c>
      <x:c r="O79" s="12" t="str">
        <x:v>USDA SR28 recorded measures; edible grams. Sizes and brands vary.</x:v>
      </x:c>
    </x:row>
    <x:row r="80" ht="62" customHeight="1">
      <x:c r="A80" s="10" t="n">
        <x:v>66</x:v>
      </x:c>
      <x:c r="B80" s="10" t="str">
        <x:v>Soy flour, full-fat, raw</x:v>
      </x:c>
      <x:c r="C80" s="10" t="str">
        <x:v>USDA SR28 (2015)</x:v>
      </x:c>
      <x:c r="D80" s="10" t="str">
        <x:v>NDB 16115</x:v>
      </x:c>
      <x:c r="E80" s="10" t="str">
        <x:v>Soy flour, full-fat, raw</x:v>
      </x:c>
      <x:c r="F80" s="18" t="n">
        <x:v>37.81</x:v>
      </x:c>
      <x:c r="G80" s="18" t="n">
        <x:v>31.92</x:v>
      </x:c>
      <x:c r="H80" s="18" t="n">
        <x:v>20.65</x:v>
      </x:c>
      <x:c r="I80" s="18" t="n">
        <x:v>9.6</x:v>
      </x:c>
      <x:c r="J80" s="18" t="n">
        <x:v>434</x:v>
      </x:c>
      <x:c r="K80" s="10" t="str">
        <x:v>kcal</x:v>
      </x:c>
      <x:c r="L80" s="10" t="str">
        <x:v>https://fdc.nal.usda.gov/</x:v>
      </x:c>
      <x:c r="M80" s="10" t="str">
        <x:v>SR28 record 16115; nutrients 203,205,204,208; weight table</x:v>
      </x:c>
      <x:c r="N80" s="10" t="str">
        <x:v>Carbs = USDA total carbohydrate. Generic reference, not an Indian brand label.</x:v>
      </x:c>
      <x:c r="O80" s="10" t="str">
        <x:v>USDA SR28 recorded measures; edible grams. Sizes and brands vary.</x:v>
      </x:c>
    </x:row>
    <x:row r="81" ht="62" customHeight="1">
      <x:c r="A81" s="12" t="n">
        <x:v>67</x:v>
      </x:c>
      <x:c r="B81" s="12" t="str">
        <x:v>Soy flour, defatted</x:v>
      </x:c>
      <x:c r="C81" s="12" t="str">
        <x:v>USDA SR28 (2015)</x:v>
      </x:c>
      <x:c r="D81" s="12" t="str">
        <x:v>NDB 16117</x:v>
      </x:c>
      <x:c r="E81" s="12" t="str">
        <x:v>Soy flour, defatted</x:v>
      </x:c>
      <x:c r="F81" s="20" t="n">
        <x:v>51.46</x:v>
      </x:c>
      <x:c r="G81" s="20" t="n">
        <x:v>33.92</x:v>
      </x:c>
      <x:c r="H81" s="20" t="n">
        <x:v>1.22</x:v>
      </x:c>
      <x:c r="I81" s="20" t="n">
        <x:v>17.5</x:v>
      </x:c>
      <x:c r="J81" s="20" t="n">
        <x:v>327</x:v>
      </x:c>
      <x:c r="K81" s="12" t="str">
        <x:v>kcal</x:v>
      </x:c>
      <x:c r="L81" s="12" t="str">
        <x:v>https://fdc.nal.usda.gov/</x:v>
      </x:c>
      <x:c r="M81" s="12" t="str">
        <x:v>SR28 record 16117; nutrients 203,205,204,208; weight table</x:v>
      </x:c>
      <x:c r="N81" s="12" t="str">
        <x:v>Carbs = USDA total carbohydrate. Generic reference, not an Indian brand label.</x:v>
      </x:c>
      <x:c r="O81" s="12" t="str">
        <x:v>USDA SR28 recorded measures; edible grams. Sizes and brands vary.</x:v>
      </x:c>
    </x:row>
    <x:row r="82" ht="62" customHeight="1">
      <x:c r="A82" s="10" t="n">
        <x:v>68</x:v>
      </x:c>
      <x:c r="B82" s="10" t="str">
        <x:v>Soy protein isolate, dry</x:v>
      </x:c>
      <x:c r="C82" s="10" t="str">
        <x:v>USDA SR28 (2015)</x:v>
      </x:c>
      <x:c r="D82" s="10" t="str">
        <x:v>NDB 16122</x:v>
      </x:c>
      <x:c r="E82" s="10" t="str">
        <x:v>Soy protein isolate</x:v>
      </x:c>
      <x:c r="F82" s="18" t="n">
        <x:v>88.32</x:v>
      </x:c>
      <x:c r="G82" s="18" t="n">
        <x:v>0</x:v>
      </x:c>
      <x:c r="H82" s="18" t="n">
        <x:v>3.39</x:v>
      </x:c>
      <x:c r="I82" s="18" t="n">
        <x:v>0</x:v>
      </x:c>
      <x:c r="J82" s="18" t="n">
        <x:v>335</x:v>
      </x:c>
      <x:c r="K82" s="10" t="str">
        <x:v>kcal</x:v>
      </x:c>
      <x:c r="L82" s="10" t="str">
        <x:v>https://fdc.nal.usda.gov/</x:v>
      </x:c>
      <x:c r="M82" s="10" t="str">
        <x:v>SR28 record 16122; nutrients 203,205,204,208; weight table</x:v>
      </x:c>
      <x:c r="N82" s="10" t="str">
        <x:v>Carbs = USDA total carbohydrate. Generic reference, not an Indian brand label.</x:v>
      </x:c>
      <x:c r="O82" s="10" t="str">
        <x:v>USDA SR28 recorded measures; edible grams. Sizes and brands vary.</x:v>
      </x:c>
    </x:row>
    <x:row r="83" ht="62" customHeight="1">
      <x:c r="A83" s="12" t="n">
        <x:v>69</x:v>
      </x:c>
      <x:c r="B83" s="12" t="str">
        <x:v>Besan / chickpea flour, dry</x:v>
      </x:c>
      <x:c r="C83" s="12" t="str">
        <x:v>USDA SR28 (2015)</x:v>
      </x:c>
      <x:c r="D83" s="12" t="str">
        <x:v>NDB 16157</x:v>
      </x:c>
      <x:c r="E83" s="12" t="str">
        <x:v>Chickpea flour (besan)</x:v>
      </x:c>
      <x:c r="F83" s="20" t="n">
        <x:v>22.39</x:v>
      </x:c>
      <x:c r="G83" s="20" t="n">
        <x:v>57.82</x:v>
      </x:c>
      <x:c r="H83" s="20" t="n">
        <x:v>6.69</x:v>
      </x:c>
      <x:c r="I83" s="20" t="n">
        <x:v>10.8</x:v>
      </x:c>
      <x:c r="J83" s="20" t="n">
        <x:v>387</x:v>
      </x:c>
      <x:c r="K83" s="12" t="str">
        <x:v>kcal</x:v>
      </x:c>
      <x:c r="L83" s="12" t="str">
        <x:v>https://fdc.nal.usda.gov/</x:v>
      </x:c>
      <x:c r="M83" s="12" t="str">
        <x:v>SR28 record 16157; nutrients 203,205,204,208; weight table</x:v>
      </x:c>
      <x:c r="N83" s="12" t="str">
        <x:v>Carbs = USDA total carbohydrate. Generic reference, not an Indian brand label.</x:v>
      </x:c>
      <x:c r="O83" s="12" t="str">
        <x:v>USDA SR28 recorded measures; edible grams. Sizes and brands vary.</x:v>
      </x:c>
    </x:row>
    <x:row r="84" ht="62" customHeight="1">
      <x:c r="A84" s="10" t="n">
        <x:v>70</x:v>
      </x:c>
      <x:c r="B84" s="10" t="str">
        <x:v>Kabuli chana / chickpeas, dry</x:v>
      </x:c>
      <x:c r="C84" s="10" t="str">
        <x:v>USDA SR28 (2015)</x:v>
      </x:c>
      <x:c r="D84" s="10" t="str">
        <x:v>NDB 16056</x:v>
      </x:c>
      <x:c r="E84" s="10" t="str">
        <x:v>Chickpeas (garbanzo beans, bengal gram), mature seeds, raw</x:v>
      </x:c>
      <x:c r="F84" s="18" t="n">
        <x:v>20.47</x:v>
      </x:c>
      <x:c r="G84" s="18" t="n">
        <x:v>62.95</x:v>
      </x:c>
      <x:c r="H84" s="18" t="n">
        <x:v>6.04</x:v>
      </x:c>
      <x:c r="I84" s="18" t="n">
        <x:v>12.2</x:v>
      </x:c>
      <x:c r="J84" s="18" t="n">
        <x:v>378</x:v>
      </x:c>
      <x:c r="K84" s="10" t="str">
        <x:v>kcal</x:v>
      </x:c>
      <x:c r="L84" s="10" t="str">
        <x:v>https://fdc.nal.usda.gov/</x:v>
      </x:c>
      <x:c r="M84" s="10" t="str">
        <x:v>SR28 record 16056; nutrients 203,205,204,208; weight table</x:v>
      </x:c>
      <x:c r="N84" s="10" t="str">
        <x:v>Carbs = USDA total carbohydrate. Generic reference, not an Indian brand label.</x:v>
      </x:c>
      <x:c r="O84" s="10" t="str">
        <x:v>USDA SR28 recorded measures; edible grams. Sizes and brands vary.</x:v>
      </x:c>
    </x:row>
    <x:row r="85" ht="62" customHeight="1">
      <x:c r="A85" s="12" t="n">
        <x:v>71</x:v>
      </x:c>
      <x:c r="B85" s="12" t="str">
        <x:v>Kabuli chana / chickpeas, boiled, no salt</x:v>
      </x:c>
      <x:c r="C85" s="12" t="str">
        <x:v>USDA SR28 (2015)</x:v>
      </x:c>
      <x:c r="D85" s="12" t="str">
        <x:v>NDB 16057</x:v>
      </x:c>
      <x:c r="E85" s="12" t="str">
        <x:v>Chickpeas (garbanzo beans, bengal gram), mature seeds, cooked, boiled, without salt</x:v>
      </x:c>
      <x:c r="F85" s="20" t="n">
        <x:v>8.86</x:v>
      </x:c>
      <x:c r="G85" s="20" t="n">
        <x:v>27.42</x:v>
      </x:c>
      <x:c r="H85" s="20" t="n">
        <x:v>2.59</x:v>
      </x:c>
      <x:c r="I85" s="20" t="n">
        <x:v>7.6</x:v>
      </x:c>
      <x:c r="J85" s="20" t="n">
        <x:v>164</x:v>
      </x:c>
      <x:c r="K85" s="12" t="str">
        <x:v>kcal</x:v>
      </x:c>
      <x:c r="L85" s="12" t="str">
        <x:v>https://fdc.nal.usda.gov/</x:v>
      </x:c>
      <x:c r="M85" s="12" t="str">
        <x:v>SR28 record 16057; nutrients 203,205,204,208; weight table</x:v>
      </x:c>
      <x:c r="N85" s="12" t="str">
        <x:v>Carbs = USDA total carbohydrate. Generic reference, not an Indian brand label.</x:v>
      </x:c>
      <x:c r="O85" s="12" t="str">
        <x:v>USDA SR28 recorded measures; edible grams. Sizes and brands vary.</x:v>
      </x:c>
    </x:row>
    <x:row r="86" ht="62" customHeight="1">
      <x:c r="A86" s="10" t="n">
        <x:v>72</x:v>
      </x:c>
      <x:c r="B86" s="10" t="str">
        <x:v>Lentils / masoor, boiled, no salt</x:v>
      </x:c>
      <x:c r="C86" s="10" t="str">
        <x:v>USDA SR28 (2015)</x:v>
      </x:c>
      <x:c r="D86" s="10" t="str">
        <x:v>NDB 16070</x:v>
      </x:c>
      <x:c r="E86" s="10" t="str">
        <x:v>Lentils, mature seeds, cooked, boiled, without salt</x:v>
      </x:c>
      <x:c r="F86" s="18" t="n">
        <x:v>9.02</x:v>
      </x:c>
      <x:c r="G86" s="18" t="n">
        <x:v>20.13</x:v>
      </x:c>
      <x:c r="H86" s="18" t="n">
        <x:v>0.38</x:v>
      </x:c>
      <x:c r="I86" s="18" t="n">
        <x:v>7.9</x:v>
      </x:c>
      <x:c r="J86" s="18" t="n">
        <x:v>116</x:v>
      </x:c>
      <x:c r="K86" s="10" t="str">
        <x:v>kcal</x:v>
      </x:c>
      <x:c r="L86" s="10" t="str">
        <x:v>https://fdc.nal.usda.gov/</x:v>
      </x:c>
      <x:c r="M86" s="10" t="str">
        <x:v>SR28 record 16070; nutrients 203,205,204,208; weight table</x:v>
      </x:c>
      <x:c r="N86" s="10" t="str">
        <x:v>Carbs = USDA total carbohydrate. Generic reference, not an Indian brand label.</x:v>
      </x:c>
      <x:c r="O86" s="10" t="str">
        <x:v>USDA SR28 recorded measures; edible grams. Sizes and brands vary.</x:v>
      </x:c>
    </x:row>
    <x:row r="87" ht="62" customHeight="1">
      <x:c r="A87" s="12" t="n">
        <x:v>73</x:v>
      </x:c>
      <x:c r="B87" s="12" t="str">
        <x:v>Whole moong, boiled, no salt</x:v>
      </x:c>
      <x:c r="C87" s="12" t="str">
        <x:v>USDA SR28 (2015)</x:v>
      </x:c>
      <x:c r="D87" s="12" t="str">
        <x:v>NDB 16081</x:v>
      </x:c>
      <x:c r="E87" s="12" t="str">
        <x:v>Mung beans, mature seeds, cooked, boiled, without salt</x:v>
      </x:c>
      <x:c r="F87" s="20" t="n">
        <x:v>7.02</x:v>
      </x:c>
      <x:c r="G87" s="20" t="n">
        <x:v>19.15</x:v>
      </x:c>
      <x:c r="H87" s="20" t="n">
        <x:v>0.38</x:v>
      </x:c>
      <x:c r="I87" s="20" t="n">
        <x:v>7.6</x:v>
      </x:c>
      <x:c r="J87" s="20" t="n">
        <x:v>105</x:v>
      </x:c>
      <x:c r="K87" s="12" t="str">
        <x:v>kcal</x:v>
      </x:c>
      <x:c r="L87" s="12" t="str">
        <x:v>https://fdc.nal.usda.gov/</x:v>
      </x:c>
      <x:c r="M87" s="12" t="str">
        <x:v>SR28 record 16081; nutrients 203,205,204,208; weight table</x:v>
      </x:c>
      <x:c r="N87" s="12" t="str">
        <x:v>Carbs = USDA total carbohydrate. Generic reference, not an Indian brand label.</x:v>
      </x:c>
      <x:c r="O87" s="12" t="str">
        <x:v>USDA SR28 recorded measures; edible grams. Sizes and brands vary.</x:v>
      </x:c>
    </x:row>
    <x:row r="88" ht="62" customHeight="1">
      <x:c r="A88" s="10" t="n">
        <x:v>74</x:v>
      </x:c>
      <x:c r="B88" s="10" t="str">
        <x:v>Whole urad, boiled, no salt</x:v>
      </x:c>
      <x:c r="C88" s="10" t="str">
        <x:v>USDA SR28 (2015)</x:v>
      </x:c>
      <x:c r="D88" s="10" t="str">
        <x:v>NDB 16084</x:v>
      </x:c>
      <x:c r="E88" s="10" t="str">
        <x:v>Mungo beans, mature seeds, cooked, boiled, without salt</x:v>
      </x:c>
      <x:c r="F88" s="18" t="n">
        <x:v>7.54</x:v>
      </x:c>
      <x:c r="G88" s="18" t="n">
        <x:v>18.34</x:v>
      </x:c>
      <x:c r="H88" s="18" t="n">
        <x:v>0.55</x:v>
      </x:c>
      <x:c r="I88" s="18" t="n">
        <x:v>6.4</x:v>
      </x:c>
      <x:c r="J88" s="18" t="n">
        <x:v>105</x:v>
      </x:c>
      <x:c r="K88" s="10" t="str">
        <x:v>kcal</x:v>
      </x:c>
      <x:c r="L88" s="10" t="str">
        <x:v>https://fdc.nal.usda.gov/</x:v>
      </x:c>
      <x:c r="M88" s="10" t="str">
        <x:v>SR28 record 16084; nutrients 203,205,204,208; weight table</x:v>
      </x:c>
      <x:c r="N88" s="10" t="str">
        <x:v>Carbs = USDA total carbohydrate. Generic reference, not an Indian brand label.</x:v>
      </x:c>
      <x:c r="O88" s="10" t="str">
        <x:v>USDA SR28 recorded measures; edible grams. Sizes and brands vary.</x:v>
      </x:c>
    </x:row>
    <x:row r="89" ht="62" customHeight="1">
      <x:c r="A89" s="12" t="n">
        <x:v>75</x:v>
      </x:c>
      <x:c r="B89" s="12" t="str">
        <x:v>Whole pigeon peas / arhar, boiled, no salt</x:v>
      </x:c>
      <x:c r="C89" s="12" t="str">
        <x:v>USDA SR28 (2015)</x:v>
      </x:c>
      <x:c r="D89" s="12" t="str">
        <x:v>NDB 16102</x:v>
      </x:c>
      <x:c r="E89" s="12" t="str">
        <x:v>Pigeon peas (red gram), mature seeds, cooked, boiled, without salt</x:v>
      </x:c>
      <x:c r="F89" s="20" t="n">
        <x:v>6.76</x:v>
      </x:c>
      <x:c r="G89" s="20" t="n">
        <x:v>23.25</x:v>
      </x:c>
      <x:c r="H89" s="20" t="n">
        <x:v>0.38</x:v>
      </x:c>
      <x:c r="I89" s="20" t="n">
        <x:v>6.7</x:v>
      </x:c>
      <x:c r="J89" s="20" t="n">
        <x:v>121</x:v>
      </x:c>
      <x:c r="K89" s="12" t="str">
        <x:v>kcal</x:v>
      </x:c>
      <x:c r="L89" s="12" t="str">
        <x:v>https://fdc.nal.usda.gov/</x:v>
      </x:c>
      <x:c r="M89" s="12" t="str">
        <x:v>SR28 record 16102; nutrients 203,205,204,208; weight table</x:v>
      </x:c>
      <x:c r="N89" s="12" t="str">
        <x:v>Carbs = USDA total carbohydrate. Generic reference, not an Indian brand label.</x:v>
      </x:c>
      <x:c r="O89" s="12" t="str">
        <x:v>USDA SR28 recorded measures; edible grams. Sizes and brands vary.</x:v>
      </x:c>
    </x:row>
    <x:row r="90" ht="62" customHeight="1">
      <x:c r="A90" s="10" t="n">
        <x:v>76</x:v>
      </x:c>
      <x:c r="B90" s="10" t="str">
        <x:v>Red rajma, boiled, no salt</x:v>
      </x:c>
      <x:c r="C90" s="10" t="str">
        <x:v>USDA SR28 (2015)</x:v>
      </x:c>
      <x:c r="D90" s="10" t="str">
        <x:v>NDB 16033</x:v>
      </x:c>
      <x:c r="E90" s="10" t="str">
        <x:v>Beans, kidney, red, mature seeds, cooked, boiled, without salt</x:v>
      </x:c>
      <x:c r="F90" s="18" t="n">
        <x:v>8.67</x:v>
      </x:c>
      <x:c r="G90" s="18" t="n">
        <x:v>22.8</x:v>
      </x:c>
      <x:c r="H90" s="18" t="n">
        <x:v>0.5</x:v>
      </x:c>
      <x:c r="I90" s="18" t="n">
        <x:v>7.4</x:v>
      </x:c>
      <x:c r="J90" s="18" t="n">
        <x:v>127</x:v>
      </x:c>
      <x:c r="K90" s="10" t="str">
        <x:v>kcal</x:v>
      </x:c>
      <x:c r="L90" s="10" t="str">
        <x:v>https://fdc.nal.usda.gov/</x:v>
      </x:c>
      <x:c r="M90" s="10" t="str">
        <x:v>SR28 record 16033; nutrients 203,205,204,208; weight table</x:v>
      </x:c>
      <x:c r="N90" s="10" t="str">
        <x:v>Carbs = USDA total carbohydrate. Generic reference, not an Indian brand label.</x:v>
      </x:c>
      <x:c r="O90" s="10" t="str">
        <x:v>USDA SR28 recorded measures; edible grams. Sizes and brands vary.</x:v>
      </x:c>
    </x:row>
    <x:row r="91" ht="62" customHeight="1">
      <x:c r="A91" s="12" t="n">
        <x:v>77</x:v>
      </x:c>
      <x:c r="B91" s="12" t="str">
        <x:v>Lobia / black-eyed peas, boiled, no salt</x:v>
      </x:c>
      <x:c r="C91" s="12" t="str">
        <x:v>USDA SR28 (2015)</x:v>
      </x:c>
      <x:c r="D91" s="12" t="str">
        <x:v>NDB 16063</x:v>
      </x:c>
      <x:c r="E91" s="12" t="str">
        <x:v>Cowpeas, common (blackeyes, crowder, southern), mature seeds, cooked, boiled, without salt</x:v>
      </x:c>
      <x:c r="F91" s="20" t="n">
        <x:v>7.73</x:v>
      </x:c>
      <x:c r="G91" s="20" t="n">
        <x:v>20.76</x:v>
      </x:c>
      <x:c r="H91" s="20" t="n">
        <x:v>0.53</x:v>
      </x:c>
      <x:c r="I91" s="20" t="n">
        <x:v>6.5</x:v>
      </x:c>
      <x:c r="J91" s="20" t="n">
        <x:v>116</x:v>
      </x:c>
      <x:c r="K91" s="12" t="str">
        <x:v>kcal</x:v>
      </x:c>
      <x:c r="L91" s="12" t="str">
        <x:v>https://fdc.nal.usda.gov/</x:v>
      </x:c>
      <x:c r="M91" s="12" t="str">
        <x:v>SR28 record 16063; nutrients 203,205,204,208; weight table</x:v>
      </x:c>
      <x:c r="N91" s="12" t="str">
        <x:v>Carbs = USDA total carbohydrate. Generic reference, not an Indian brand label.</x:v>
      </x:c>
      <x:c r="O91" s="12" t="str">
        <x:v>USDA SR28 recorded measures; edible grams. Sizes and brands vary.</x:v>
      </x:c>
    </x:row>
    <x:row r="92" ht="62" customHeight="1">
      <x:c r="A92" s="10" t="n">
        <x:v>78</x:v>
      </x:c>
      <x:c r="B92" s="10" t="str">
        <x:v>Green peas, boiled and drained, no salt</x:v>
      </x:c>
      <x:c r="C92" s="10" t="str">
        <x:v>USDA SR28 (2015)</x:v>
      </x:c>
      <x:c r="D92" s="10" t="str">
        <x:v>NDB 11305</x:v>
      </x:c>
      <x:c r="E92" s="10" t="str">
        <x:v>Peas, green, cooked, boiled, drained, without salt</x:v>
      </x:c>
      <x:c r="F92" s="18" t="n">
        <x:v>5.36</x:v>
      </x:c>
      <x:c r="G92" s="18" t="n">
        <x:v>15.63</x:v>
      </x:c>
      <x:c r="H92" s="18" t="n">
        <x:v>0.22</x:v>
      </x:c>
      <x:c r="I92" s="18" t="n">
        <x:v>5.5</x:v>
      </x:c>
      <x:c r="J92" s="18" t="n">
        <x:v>84</x:v>
      </x:c>
      <x:c r="K92" s="10" t="str">
        <x:v>kcal</x:v>
      </x:c>
      <x:c r="L92" s="10" t="str">
        <x:v>https://fdc.nal.usda.gov/</x:v>
      </x:c>
      <x:c r="M92" s="10" t="str">
        <x:v>SR28 record 11305; nutrients 203,205,204,208; weight table</x:v>
      </x:c>
      <x:c r="N92" s="10" t="str">
        <x:v>Carbs = USDA total carbohydrate. Generic reference, not an Indian brand label.</x:v>
      </x:c>
      <x:c r="O92" s="10" t="str">
        <x:v>USDA SR28 recorded measures; edible grams. Sizes and brands vary.</x:v>
      </x:c>
    </x:row>
    <x:row r="93" ht="62" customHeight="1">
      <x:c r="A93" s="12" t="n">
        <x:v>79</x:v>
      </x:c>
      <x:c r="B93" s="12" t="str">
        <x:v>Moong sprouts, raw</x:v>
      </x:c>
      <x:c r="C93" s="12" t="str">
        <x:v>USDA SR28 (2015)</x:v>
      </x:c>
      <x:c r="D93" s="12" t="str">
        <x:v>NDB 11043</x:v>
      </x:c>
      <x:c r="E93" s="12" t="str">
        <x:v>Mung beans, mature seeds, sprouted, raw</x:v>
      </x:c>
      <x:c r="F93" s="20" t="n">
        <x:v>3.04</x:v>
      </x:c>
      <x:c r="G93" s="20" t="n">
        <x:v>5.94</x:v>
      </x:c>
      <x:c r="H93" s="20" t="n">
        <x:v>0.18</x:v>
      </x:c>
      <x:c r="I93" s="20" t="n">
        <x:v>1.8</x:v>
      </x:c>
      <x:c r="J93" s="20" t="n">
        <x:v>30</x:v>
      </x:c>
      <x:c r="K93" s="12" t="str">
        <x:v>kcal</x:v>
      </x:c>
      <x:c r="L93" s="12" t="str">
        <x:v>https://fdc.nal.usda.gov/</x:v>
      </x:c>
      <x:c r="M93" s="12" t="str">
        <x:v>SR28 record 11043; nutrients 203,205,204,208; weight table</x:v>
      </x:c>
      <x:c r="N93" s="12" t="str">
        <x:v>Carbs = USDA total carbohydrate. Generic reference, not an Indian brand label.</x:v>
      </x:c>
      <x:c r="O93" s="12" t="str">
        <x:v>USDA SR28 recorded measures; edible grams. Sizes and brands vary.</x:v>
      </x:c>
    </x:row>
    <x:row r="94" ht="62" customHeight="1">
      <x:c r="A94" s="10" t="n">
        <x:v>80</x:v>
      </x:c>
      <x:c r="B94" s="10" t="str">
        <x:v>Peanuts, dry-roasted, unsalted</x:v>
      </x:c>
      <x:c r="C94" s="10" t="str">
        <x:v>USDA SR28 (2015)</x:v>
      </x:c>
      <x:c r="D94" s="10" t="str">
        <x:v>NDB 16390</x:v>
      </x:c>
      <x:c r="E94" s="10" t="str">
        <x:v>Peanuts, all types, dry-roasted, without salt</x:v>
      </x:c>
      <x:c r="F94" s="18" t="n">
        <x:v>24.35</x:v>
      </x:c>
      <x:c r="G94" s="18" t="n">
        <x:v>21.26</x:v>
      </x:c>
      <x:c r="H94" s="18" t="n">
        <x:v>49.66</x:v>
      </x:c>
      <x:c r="I94" s="18" t="n">
        <x:v>8.4</x:v>
      </x:c>
      <x:c r="J94" s="18" t="n">
        <x:v>587</x:v>
      </x:c>
      <x:c r="K94" s="10" t="str">
        <x:v>kcal</x:v>
      </x:c>
      <x:c r="L94" s="10" t="str">
        <x:v>https://fdc.nal.usda.gov/</x:v>
      </x:c>
      <x:c r="M94" s="10" t="str">
        <x:v>SR28 record 16390; nutrients 203,205,204,208; weight table</x:v>
      </x:c>
      <x:c r="N94" s="10" t="str">
        <x:v>Carbs = USDA total carbohydrate. Generic reference, not an Indian brand label.</x:v>
      </x:c>
      <x:c r="O94" s="10" t="str">
        <x:v>USDA SR28 recorded measures; edible grams. Sizes and brands vary.</x:v>
      </x:c>
    </x:row>
    <x:row r="95" ht="62" customHeight="1">
      <x:c r="A95" s="12" t="n">
        <x:v>81</x:v>
      </x:c>
      <x:c r="B95" s="12" t="str">
        <x:v>Peanut butter, smooth, unsalted</x:v>
      </x:c>
      <x:c r="C95" s="12" t="str">
        <x:v>USDA SR28 (2015)</x:v>
      </x:c>
      <x:c r="D95" s="12" t="str">
        <x:v>NDB 16398</x:v>
      </x:c>
      <x:c r="E95" s="12" t="str">
        <x:v>Peanut butter, smooth style, without salt</x:v>
      </x:c>
      <x:c r="F95" s="20" t="n">
        <x:v>22.21</x:v>
      </x:c>
      <x:c r="G95" s="20" t="n">
        <x:v>22.31</x:v>
      </x:c>
      <x:c r="H95" s="20" t="n">
        <x:v>51.36</x:v>
      </x:c>
      <x:c r="I95" s="20" t="n">
        <x:v>5</x:v>
      </x:c>
      <x:c r="J95" s="20" t="n">
        <x:v>598</x:v>
      </x:c>
      <x:c r="K95" s="12" t="str">
        <x:v>kcal</x:v>
      </x:c>
      <x:c r="L95" s="12" t="str">
        <x:v>https://fdc.nal.usda.gov/</x:v>
      </x:c>
      <x:c r="M95" s="12" t="str">
        <x:v>SR28 record 16398; nutrients 203,205,204,208; weight table</x:v>
      </x:c>
      <x:c r="N95" s="12" t="str">
        <x:v>Carbs = USDA total carbohydrate. Generic reference, not an Indian brand label.</x:v>
      </x:c>
      <x:c r="O95" s="12" t="str">
        <x:v>USDA SR28 recorded measures; edible grams. Sizes and brands vary.</x:v>
      </x:c>
    </x:row>
    <x:row r="96" ht="62" customHeight="1">
      <x:c r="A96" s="10" t="n">
        <x:v>82</x:v>
      </x:c>
      <x:c r="B96" s="10" t="str">
        <x:v>Pumpkin seed kernels, dried</x:v>
      </x:c>
      <x:c r="C96" s="10" t="str">
        <x:v>USDA SR28 (2015)</x:v>
      </x:c>
      <x:c r="D96" s="10" t="str">
        <x:v>NDB 12014</x:v>
      </x:c>
      <x:c r="E96" s="10" t="str">
        <x:v>Seeds, pumpkin and squash seed kernels, dried</x:v>
      </x:c>
      <x:c r="F96" s="18" t="n">
        <x:v>30.23</x:v>
      </x:c>
      <x:c r="G96" s="18" t="n">
        <x:v>10.71</x:v>
      </x:c>
      <x:c r="H96" s="18" t="n">
        <x:v>49.05</x:v>
      </x:c>
      <x:c r="I96" s="18" t="n">
        <x:v>6</x:v>
      </x:c>
      <x:c r="J96" s="18" t="n">
        <x:v>559</x:v>
      </x:c>
      <x:c r="K96" s="10" t="str">
        <x:v>kcal</x:v>
      </x:c>
      <x:c r="L96" s="10" t="str">
        <x:v>https://fdc.nal.usda.gov/</x:v>
      </x:c>
      <x:c r="M96" s="10" t="str">
        <x:v>SR28 record 12014; nutrients 203,205,204,208; weight table</x:v>
      </x:c>
      <x:c r="N96" s="10" t="str">
        <x:v>Carbs = USDA total carbohydrate. Generic reference, not an Indian brand label.</x:v>
      </x:c>
      <x:c r="O96" s="10" t="str">
        <x:v>USDA SR28 recorded measures; edible grams. Sizes and brands vary.</x:v>
      </x:c>
    </x:row>
    <x:row r="97" ht="62" customHeight="1">
      <x:c r="A97" s="12" t="n">
        <x:v>83</x:v>
      </x:c>
      <x:c r="B97" s="12" t="str">
        <x:v>Chia seeds, dried</x:v>
      </x:c>
      <x:c r="C97" s="12" t="str">
        <x:v>USDA SR28 (2015)</x:v>
      </x:c>
      <x:c r="D97" s="12" t="str">
        <x:v>NDB 12006</x:v>
      </x:c>
      <x:c r="E97" s="12" t="str">
        <x:v>Seeds, chia seeds, dried</x:v>
      </x:c>
      <x:c r="F97" s="20" t="n">
        <x:v>16.54</x:v>
      </x:c>
      <x:c r="G97" s="20" t="n">
        <x:v>42.12</x:v>
      </x:c>
      <x:c r="H97" s="20" t="n">
        <x:v>30.74</x:v>
      </x:c>
      <x:c r="I97" s="20" t="n">
        <x:v>34.4</x:v>
      </x:c>
      <x:c r="J97" s="20" t="n">
        <x:v>486</x:v>
      </x:c>
      <x:c r="K97" s="12" t="str">
        <x:v>kcal</x:v>
      </x:c>
      <x:c r="L97" s="12" t="str">
        <x:v>https://fdc.nal.usda.gov/</x:v>
      </x:c>
      <x:c r="M97" s="12" t="str">
        <x:v>SR28 record 12006; nutrients 203,205,204,208; weight table</x:v>
      </x:c>
      <x:c r="N97" s="12" t="str">
        <x:v>Carbs = USDA total carbohydrate. Generic reference, not an Indian brand label.</x:v>
      </x:c>
      <x:c r="O97" s="12" t="str">
        <x:v>USDA SR28 recorded measures; edible grams. Sizes and brands vary.</x:v>
      </x:c>
    </x:row>
    <x:row r="98" ht="62" customHeight="1">
      <x:c r="A98" s="10" t="n">
        <x:v>84</x:v>
      </x:c>
      <x:c r="B98" s="10" t="str">
        <x:v>Watermelon seed kernels, dried</x:v>
      </x:c>
      <x:c r="C98" s="10" t="str">
        <x:v>USDA SR28 (2015)</x:v>
      </x:c>
      <x:c r="D98" s="10" t="str">
        <x:v>NDB 12174</x:v>
      </x:c>
      <x:c r="E98" s="10" t="str">
        <x:v>Seeds, watermelon seed kernels, dried</x:v>
      </x:c>
      <x:c r="F98" s="18" t="n">
        <x:v>28.33</x:v>
      </x:c>
      <x:c r="G98" s="18" t="n">
        <x:v>15.31</x:v>
      </x:c>
      <x:c r="H98" s="18" t="n">
        <x:v>47.37</x:v>
      </x:c>
      <x:c r="I98" s="18"/>
      <x:c r="J98" s="18" t="n">
        <x:v>557</x:v>
      </x:c>
      <x:c r="K98" s="10" t="str">
        <x:v>kcal</x:v>
      </x:c>
      <x:c r="L98" s="10" t="str">
        <x:v>https://fdc.nal.usda.gov/</x:v>
      </x:c>
      <x:c r="M98" s="10" t="str">
        <x:v>SR28 record 12174; nutrients 203,205,204,208; weight table</x:v>
      </x:c>
      <x:c r="N98" s="10" t="str">
        <x:v>Carbs = USDA total carbohydrate. Generic reference, not an Indian brand label.</x:v>
      </x:c>
      <x:c r="O98" s="10" t="str">
        <x:v>USDA SR28 recorded measures; edible grams. Sizes and brands vary.</x:v>
      </x:c>
    </x:row>
    <x:row r="99" ht="62" customHeight="1">
      <x:c r="A99" s="12" t="n">
        <x:v>85</x:v>
      </x:c>
      <x:c r="B99" s="12" t="str">
        <x:v>Rolled / quick oats, dry, unfortified</x:v>
      </x:c>
      <x:c r="C99" s="12" t="str">
        <x:v>USDA SR28 (2015)</x:v>
      </x:c>
      <x:c r="D99" s="12" t="str">
        <x:v>NDB 08120</x:v>
      </x:c>
      <x:c r="E99" s="12" t="str">
        <x:v>Cereals, oats, regular and quick, not fortified, dry</x:v>
      </x:c>
      <x:c r="F99" s="20" t="n">
        <x:v>13.15</x:v>
      </x:c>
      <x:c r="G99" s="20" t="n">
        <x:v>67.7</x:v>
      </x:c>
      <x:c r="H99" s="20" t="n">
        <x:v>6.52</x:v>
      </x:c>
      <x:c r="I99" s="20" t="n">
        <x:v>10.1</x:v>
      </x:c>
      <x:c r="J99" s="20" t="n">
        <x:v>379</x:v>
      </x:c>
      <x:c r="K99" s="12" t="str">
        <x:v>kcal</x:v>
      </x:c>
      <x:c r="L99" s="12" t="str">
        <x:v>https://fdc.nal.usda.gov/</x:v>
      </x:c>
      <x:c r="M99" s="12" t="str">
        <x:v>SR28 record 08120; nutrients 203,205,204,208; weight table</x:v>
      </x:c>
      <x:c r="N99" s="12" t="str">
        <x:v>Carbs = USDA total carbohydrate. Generic reference, not an Indian brand label.</x:v>
      </x:c>
      <x:c r="O99" s="12" t="str">
        <x:v>USDA SR28 recorded measures; edible grams. Sizes and brands vary.</x:v>
      </x:c>
    </x:row>
    <x:row r="100" ht="62" customHeight="1">
      <x:c r="A100" s="10" t="n">
        <x:v>86</x:v>
      </x:c>
      <x:c r="B100" s="10" t="str">
        <x:v>Whole-wheat bread, commercial</x:v>
      </x:c>
      <x:c r="C100" s="10" t="str">
        <x:v>USDA SR28 (2015)</x:v>
      </x:c>
      <x:c r="D100" s="10" t="str">
        <x:v>NDB 18075</x:v>
      </x:c>
      <x:c r="E100" s="10" t="str">
        <x:v>Bread, whole-wheat, commercially prepared</x:v>
      </x:c>
      <x:c r="F100" s="18" t="n">
        <x:v>12.45</x:v>
      </x:c>
      <x:c r="G100" s="18" t="n">
        <x:v>42.71</x:v>
      </x:c>
      <x:c r="H100" s="18" t="n">
        <x:v>3.5</x:v>
      </x:c>
      <x:c r="I100" s="18" t="n">
        <x:v>6</x:v>
      </x:c>
      <x:c r="J100" s="18" t="n">
        <x:v>252</x:v>
      </x:c>
      <x:c r="K100" s="10" t="str">
        <x:v>kcal</x:v>
      </x:c>
      <x:c r="L100" s="10" t="str">
        <x:v>https://fdc.nal.usda.gov/</x:v>
      </x:c>
      <x:c r="M100" s="10" t="str">
        <x:v>SR28 record 18075; nutrients 203,205,204,208; weight table</x:v>
      </x:c>
      <x:c r="N100" s="10" t="str">
        <x:v>Carbs = USDA total carbohydrate. Generic reference, not an Indian brand label.</x:v>
      </x:c>
      <x:c r="O100" s="10" t="str">
        <x:v>USDA SR28 recorded measures; edible grams. Sizes and brands vary.</x:v>
      </x:c>
    </x:row>
    <x:row r="101" ht="62" customHeight="1">
      <x:c r="A101" s="12" t="n">
        <x:v>87</x:v>
      </x:c>
      <x:c r="B101" s="12" t="str">
        <x:v>Chicken egg, whole, raw</x:v>
      </x:c>
      <x:c r="C101" s="12" t="str">
        <x:v>USDA SR28 (2015)</x:v>
      </x:c>
      <x:c r="D101" s="12" t="str">
        <x:v>NDB 01123</x:v>
      </x:c>
      <x:c r="E101" s="12" t="str">
        <x:v>Egg, whole, raw, fresh</x:v>
      </x:c>
      <x:c r="F101" s="20" t="n">
        <x:v>12.56</x:v>
      </x:c>
      <x:c r="G101" s="20" t="n">
        <x:v>0.72</x:v>
      </x:c>
      <x:c r="H101" s="20" t="n">
        <x:v>9.51</x:v>
      </x:c>
      <x:c r="I101" s="20" t="n">
        <x:v>0</x:v>
      </x:c>
      <x:c r="J101" s="20" t="n">
        <x:v>143</x:v>
      </x:c>
      <x:c r="K101" s="12" t="str">
        <x:v>kcal</x:v>
      </x:c>
      <x:c r="L101" s="12" t="str">
        <x:v>https://fdc.nal.usda.gov/</x:v>
      </x:c>
      <x:c r="M101" s="12" t="str">
        <x:v>SR28 record 01123; nutrients 203,205,204,208; weight table</x:v>
      </x:c>
      <x:c r="N101" s="12" t="str">
        <x:v>Carbs = USDA total carbohydrate. Generic reference, not an Indian brand label.</x:v>
      </x:c>
      <x:c r="O101" s="12" t="str">
        <x:v>USDA SR28 recorded measures; edible grams. Sizes and brands vary.</x:v>
      </x:c>
    </x:row>
    <x:row r="102" ht="62" customHeight="1">
      <x:c r="A102" s="10" t="n">
        <x:v>88</x:v>
      </x:c>
      <x:c r="B102" s="10" t="str">
        <x:v>Chicken egg, whole, hard-boiled</x:v>
      </x:c>
      <x:c r="C102" s="10" t="str">
        <x:v>USDA SR28 (2015)</x:v>
      </x:c>
      <x:c r="D102" s="10" t="str">
        <x:v>NDB 01129</x:v>
      </x:c>
      <x:c r="E102" s="10" t="str">
        <x:v>Egg, whole, cooked, hard-boiled</x:v>
      </x:c>
      <x:c r="F102" s="18" t="n">
        <x:v>12.58</x:v>
      </x:c>
      <x:c r="G102" s="18" t="n">
        <x:v>1.12</x:v>
      </x:c>
      <x:c r="H102" s="18" t="n">
        <x:v>10.61</x:v>
      </x:c>
      <x:c r="I102" s="18" t="n">
        <x:v>0</x:v>
      </x:c>
      <x:c r="J102" s="18" t="n">
        <x:v>155</x:v>
      </x:c>
      <x:c r="K102" s="10" t="str">
        <x:v>kcal</x:v>
      </x:c>
      <x:c r="L102" s="10" t="str">
        <x:v>https://fdc.nal.usda.gov/</x:v>
      </x:c>
      <x:c r="M102" s="10" t="str">
        <x:v>SR28 record 01129; nutrients 203,205,204,208; weight table</x:v>
      </x:c>
      <x:c r="N102" s="10" t="str">
        <x:v>Carbs = USDA total carbohydrate. Generic reference, not an Indian brand label.</x:v>
      </x:c>
      <x:c r="O102" s="10" t="str">
        <x:v>USDA SR28 recorded measures; edible grams. Sizes and brands vary.</x:v>
      </x:c>
    </x:row>
    <x:row r="103" ht="62" customHeight="1">
      <x:c r="A103" s="12" t="n">
        <x:v>89</x:v>
      </x:c>
      <x:c r="B103" s="12" t="str">
        <x:v>Chicken egg white, raw</x:v>
      </x:c>
      <x:c r="C103" s="12" t="str">
        <x:v>USDA SR28 (2015)</x:v>
      </x:c>
      <x:c r="D103" s="12" t="str">
        <x:v>NDB 01124</x:v>
      </x:c>
      <x:c r="E103" s="12" t="str">
        <x:v>Egg, white, raw, fresh</x:v>
      </x:c>
      <x:c r="F103" s="20" t="n">
        <x:v>10.9</x:v>
      </x:c>
      <x:c r="G103" s="20" t="n">
        <x:v>0.73</x:v>
      </x:c>
      <x:c r="H103" s="20" t="n">
        <x:v>0.17</x:v>
      </x:c>
      <x:c r="I103" s="20" t="n">
        <x:v>0</x:v>
      </x:c>
      <x:c r="J103" s="20" t="n">
        <x:v>52</x:v>
      </x:c>
      <x:c r="K103" s="12" t="str">
        <x:v>kcal</x:v>
      </x:c>
      <x:c r="L103" s="12" t="str">
        <x:v>https://fdc.nal.usda.gov/</x:v>
      </x:c>
      <x:c r="M103" s="12" t="str">
        <x:v>SR28 record 01124; nutrients 203,205,204,208; weight table</x:v>
      </x:c>
      <x:c r="N103" s="12" t="str">
        <x:v>Carbs = USDA total carbohydrate. Generic reference, not an Indian brand label.</x:v>
      </x:c>
      <x:c r="O103" s="12" t="str">
        <x:v>USDA SR28 recorded measures; edible grams. Sizes and brands vary.</x:v>
      </x:c>
    </x:row>
    <x:row r="104" ht="62" customHeight="1">
      <x:c r="A104" s="10" t="n">
        <x:v>90</x:v>
      </x:c>
      <x:c r="B104" s="10" t="str">
        <x:v>Duck egg, whole, raw</x:v>
      </x:c>
      <x:c r="C104" s="10" t="str">
        <x:v>USDA SR28 (2015)</x:v>
      </x:c>
      <x:c r="D104" s="10" t="str">
        <x:v>NDB 01138</x:v>
      </x:c>
      <x:c r="E104" s="10" t="str">
        <x:v>Egg, duck, whole, fresh, raw</x:v>
      </x:c>
      <x:c r="F104" s="18" t="n">
        <x:v>12.81</x:v>
      </x:c>
      <x:c r="G104" s="18" t="n">
        <x:v>1.45</x:v>
      </x:c>
      <x:c r="H104" s="18" t="n">
        <x:v>13.77</x:v>
      </x:c>
      <x:c r="I104" s="18" t="n">
        <x:v>0</x:v>
      </x:c>
      <x:c r="J104" s="18" t="n">
        <x:v>185</x:v>
      </x:c>
      <x:c r="K104" s="10" t="str">
        <x:v>kcal</x:v>
      </x:c>
      <x:c r="L104" s="10" t="str">
        <x:v>https://fdc.nal.usda.gov/</x:v>
      </x:c>
      <x:c r="M104" s="10" t="str">
        <x:v>SR28 record 01138; nutrients 203,205,204,208; weight table</x:v>
      </x:c>
      <x:c r="N104" s="10" t="str">
        <x:v>Carbs = USDA total carbohydrate. Generic reference, not an Indian brand label.</x:v>
      </x:c>
      <x:c r="O104" s="10" t="str">
        <x:v>USDA SR28 recorded measures; edible grams. Sizes and brands vary.</x:v>
      </x:c>
    </x:row>
    <x:row r="105" ht="62" customHeight="1">
      <x:c r="A105" s="12" t="n">
        <x:v>91</x:v>
      </x:c>
      <x:c r="B105" s="12" t="str">
        <x:v>Quail egg, whole, raw</x:v>
      </x:c>
      <x:c r="C105" s="12" t="str">
        <x:v>USDA SR28 (2015)</x:v>
      </x:c>
      <x:c r="D105" s="12" t="str">
        <x:v>NDB 01140</x:v>
      </x:c>
      <x:c r="E105" s="12" t="str">
        <x:v>Egg, quail, whole, fresh, raw</x:v>
      </x:c>
      <x:c r="F105" s="20" t="n">
        <x:v>13.05</x:v>
      </x:c>
      <x:c r="G105" s="20" t="n">
        <x:v>0.41</x:v>
      </x:c>
      <x:c r="H105" s="20" t="n">
        <x:v>11.09</x:v>
      </x:c>
      <x:c r="I105" s="20" t="n">
        <x:v>0</x:v>
      </x:c>
      <x:c r="J105" s="20" t="n">
        <x:v>158</x:v>
      </x:c>
      <x:c r="K105" s="12" t="str">
        <x:v>kcal</x:v>
      </x:c>
      <x:c r="L105" s="12" t="str">
        <x:v>https://fdc.nal.usda.gov/</x:v>
      </x:c>
      <x:c r="M105" s="12" t="str">
        <x:v>SR28 record 01140; nutrients 203,205,204,208; weight table</x:v>
      </x:c>
      <x:c r="N105" s="12" t="str">
        <x:v>Carbs = USDA total carbohydrate. Generic reference, not an Indian brand label.</x:v>
      </x:c>
      <x:c r="O105" s="12" t="str">
        <x:v>USDA SR28 recorded measures; edible grams. Sizes and brands vary.</x:v>
      </x:c>
    </x:row>
    <x:row r="106" ht="62" customHeight="1">
      <x:c r="A106" s="10" t="n">
        <x:v>92</x:v>
      </x:c>
      <x:c r="B106" s="10" t="str">
        <x:v>Chicken breast, skinless meat, roasted</x:v>
      </x:c>
      <x:c r="C106" s="10" t="str">
        <x:v>USDA SR28 (2015)</x:v>
      </x:c>
      <x:c r="D106" s="10" t="str">
        <x:v>NDB 05064</x:v>
      </x:c>
      <x:c r="E106" s="10" t="str">
        <x:v>Chicken, broilers or fryers, breast, meat only, cooked, roasted</x:v>
      </x:c>
      <x:c r="F106" s="18" t="n">
        <x:v>31.02</x:v>
      </x:c>
      <x:c r="G106" s="18" t="n">
        <x:v>0</x:v>
      </x:c>
      <x:c r="H106" s="18" t="n">
        <x:v>3.57</x:v>
      </x:c>
      <x:c r="I106" s="18" t="n">
        <x:v>0</x:v>
      </x:c>
      <x:c r="J106" s="18" t="n">
        <x:v>165</x:v>
      </x:c>
      <x:c r="K106" s="10" t="str">
        <x:v>kcal</x:v>
      </x:c>
      <x:c r="L106" s="10" t="str">
        <x:v>https://fdc.nal.usda.gov/</x:v>
      </x:c>
      <x:c r="M106" s="10" t="str">
        <x:v>SR28 record 05064; nutrients 203,205,204,208; weight table</x:v>
      </x:c>
      <x:c r="N106" s="10" t="str">
        <x:v>Carbs = USDA total carbohydrate. Generic reference, not an Indian brand label.</x:v>
      </x:c>
      <x:c r="O106" s="10" t="str">
        <x:v>USDA SR28 recorded measures; edible grams. Sizes and brands vary.</x:v>
      </x:c>
    </x:row>
    <x:row r="107" ht="62" customHeight="1">
      <x:c r="A107" s="12" t="n">
        <x:v>93</x:v>
      </x:c>
      <x:c r="B107" s="12" t="str">
        <x:v>Chicken thigh, skinless meat, roasted</x:v>
      </x:c>
      <x:c r="C107" s="12" t="str">
        <x:v>USDA SR28 (2015)</x:v>
      </x:c>
      <x:c r="D107" s="12" t="str">
        <x:v>NDB 05098</x:v>
      </x:c>
      <x:c r="E107" s="12" t="str">
        <x:v>Chicken, broilers or fryers, thigh, meat only, cooked, roasted</x:v>
      </x:c>
      <x:c r="F107" s="20" t="n">
        <x:v>24.76</x:v>
      </x:c>
      <x:c r="G107" s="20" t="n">
        <x:v>0</x:v>
      </x:c>
      <x:c r="H107" s="20" t="n">
        <x:v>8.15</x:v>
      </x:c>
      <x:c r="I107" s="20" t="n">
        <x:v>0</x:v>
      </x:c>
      <x:c r="J107" s="20" t="n">
        <x:v>179</x:v>
      </x:c>
      <x:c r="K107" s="12" t="str">
        <x:v>kcal</x:v>
      </x:c>
      <x:c r="L107" s="12" t="str">
        <x:v>https://fdc.nal.usda.gov/</x:v>
      </x:c>
      <x:c r="M107" s="12" t="str">
        <x:v>SR28 record 05098; nutrients 203,205,204,208; weight table</x:v>
      </x:c>
      <x:c r="N107" s="12" t="str">
        <x:v>Carbs = USDA total carbohydrate. Generic reference, not an Indian brand label.</x:v>
      </x:c>
      <x:c r="O107" s="12" t="str">
        <x:v>USDA SR28 recorded measures; edible grams. Sizes and brands vary.</x:v>
      </x:c>
    </x:row>
    <x:row r="108" ht="62" customHeight="1">
      <x:c r="A108" s="10" t="n">
        <x:v>94</x:v>
      </x:c>
      <x:c r="B108" s="10" t="str">
        <x:v>Chicken drumstick, skinless meat, roasted</x:v>
      </x:c>
      <x:c r="C108" s="10" t="str">
        <x:v>USDA SR28 (2015)</x:v>
      </x:c>
      <x:c r="D108" s="10" t="str">
        <x:v>NDB 05073</x:v>
      </x:c>
      <x:c r="E108" s="10" t="str">
        <x:v>Chicken, broilers or fryers, dark meat, drumstick, meat only, cooked, roasted</x:v>
      </x:c>
      <x:c r="F108" s="18" t="n">
        <x:v>24.24</x:v>
      </x:c>
      <x:c r="G108" s="18" t="n">
        <x:v>0</x:v>
      </x:c>
      <x:c r="H108" s="18" t="n">
        <x:v>5.7</x:v>
      </x:c>
      <x:c r="I108" s="18" t="n">
        <x:v>0</x:v>
      </x:c>
      <x:c r="J108" s="18" t="n">
        <x:v>155</x:v>
      </x:c>
      <x:c r="K108" s="10" t="str">
        <x:v>kcal</x:v>
      </x:c>
      <x:c r="L108" s="10" t="str">
        <x:v>https://fdc.nal.usda.gov/</x:v>
      </x:c>
      <x:c r="M108" s="10" t="str">
        <x:v>SR28 record 05073; nutrients 203,205,204,208; weight table</x:v>
      </x:c>
      <x:c r="N108" s="10" t="str">
        <x:v>Carbs = USDA total carbohydrate. Generic reference, not an Indian brand label.</x:v>
      </x:c>
      <x:c r="O108" s="10" t="str">
        <x:v>USDA SR28 recorded measures; edible grams. Sizes and brands vary.</x:v>
      </x:c>
    </x:row>
    <x:row r="109" ht="62" customHeight="1">
      <x:c r="A109" s="12" t="n">
        <x:v>95</x:v>
      </x:c>
      <x:c r="B109" s="12" t="str">
        <x:v>Chicken liver, simmered</x:v>
      </x:c>
      <x:c r="C109" s="12" t="str">
        <x:v>USDA SR28 (2015)</x:v>
      </x:c>
      <x:c r="D109" s="12" t="str">
        <x:v>NDB 05028</x:v>
      </x:c>
      <x:c r="E109" s="12" t="str">
        <x:v>Chicken, liver, all classes, cooked, simmered</x:v>
      </x:c>
      <x:c r="F109" s="20" t="n">
        <x:v>24.46</x:v>
      </x:c>
      <x:c r="G109" s="20" t="n">
        <x:v>0.87</x:v>
      </x:c>
      <x:c r="H109" s="20" t="n">
        <x:v>6.51</x:v>
      </x:c>
      <x:c r="I109" s="20" t="n">
        <x:v>0</x:v>
      </x:c>
      <x:c r="J109" s="20" t="n">
        <x:v>167</x:v>
      </x:c>
      <x:c r="K109" s="12" t="str">
        <x:v>kcal</x:v>
      </x:c>
      <x:c r="L109" s="12" t="str">
        <x:v>https://fdc.nal.usda.gov/</x:v>
      </x:c>
      <x:c r="M109" s="12" t="str">
        <x:v>SR28 record 05028; nutrients 203,205,204,208; weight table</x:v>
      </x:c>
      <x:c r="N109" s="12" t="str">
        <x:v>Carbs = USDA total carbohydrate. Generic reference, not an Indian brand label.</x:v>
      </x:c>
      <x:c r="O109" s="12" t="str">
        <x:v>USDA SR28 recorded measures; edible grams. Sizes and brands vary.</x:v>
      </x:c>
    </x:row>
    <x:row r="110" ht="62" customHeight="1">
      <x:c r="A110" s="10" t="n">
        <x:v>96</x:v>
      </x:c>
      <x:c r="B110" s="10" t="str">
        <x:v>Goat meat / mutton, roasted</x:v>
      </x:c>
      <x:c r="C110" s="10" t="str">
        <x:v>USDA SR28 (2015)</x:v>
      </x:c>
      <x:c r="D110" s="10" t="str">
        <x:v>NDB 17169</x:v>
      </x:c>
      <x:c r="E110" s="10" t="str">
        <x:v>Game meat, goat, cooked, roasted</x:v>
      </x:c>
      <x:c r="F110" s="18" t="n">
        <x:v>27.1</x:v>
      </x:c>
      <x:c r="G110" s="18" t="n">
        <x:v>0</x:v>
      </x:c>
      <x:c r="H110" s="18" t="n">
        <x:v>3.03</x:v>
      </x:c>
      <x:c r="I110" s="18" t="n">
        <x:v>0</x:v>
      </x:c>
      <x:c r="J110" s="18" t="n">
        <x:v>143</x:v>
      </x:c>
      <x:c r="K110" s="10" t="str">
        <x:v>kcal</x:v>
      </x:c>
      <x:c r="L110" s="10" t="str">
        <x:v>https://fdc.nal.usda.gov/</x:v>
      </x:c>
      <x:c r="M110" s="10" t="str">
        <x:v>SR28 record 17169; nutrients 203,205,204,208; weight table</x:v>
      </x:c>
      <x:c r="N110" s="10" t="str">
        <x:v>Carbs = USDA total carbohydrate. Generic reference, not an Indian brand label.</x:v>
      </x:c>
      <x:c r="O110" s="10" t="str">
        <x:v>USDA SR28 recorded measures; edible grams. Sizes and brands vary.</x:v>
      </x:c>
    </x:row>
    <x:row r="111" ht="62" customHeight="1">
      <x:c r="A111" s="12" t="n">
        <x:v>97</x:v>
      </x:c>
      <x:c r="B111" s="12" t="str">
        <x:v>Tilapia fish, cooked with dry heat</x:v>
      </x:c>
      <x:c r="C111" s="12" t="str">
        <x:v>USDA SR28 (2015)</x:v>
      </x:c>
      <x:c r="D111" s="12" t="str">
        <x:v>NDB 15262</x:v>
      </x:c>
      <x:c r="E111" s="12" t="str">
        <x:v>Fish, tilapia, cooked, dry heat</x:v>
      </x:c>
      <x:c r="F111" s="20" t="n">
        <x:v>26.15</x:v>
      </x:c>
      <x:c r="G111" s="20" t="n">
        <x:v>0</x:v>
      </x:c>
      <x:c r="H111" s="20" t="n">
        <x:v>2.65</x:v>
      </x:c>
      <x:c r="I111" s="20" t="n">
        <x:v>0</x:v>
      </x:c>
      <x:c r="J111" s="20" t="n">
        <x:v>128</x:v>
      </x:c>
      <x:c r="K111" s="12" t="str">
        <x:v>kcal</x:v>
      </x:c>
      <x:c r="L111" s="12" t="str">
        <x:v>https://fdc.nal.usda.gov/</x:v>
      </x:c>
      <x:c r="M111" s="12" t="str">
        <x:v>SR28 record 15262; nutrients 203,205,204,208; weight table</x:v>
      </x:c>
      <x:c r="N111" s="12" t="str">
        <x:v>Carbs = USDA total carbohydrate. Generic reference, not an Indian brand label.</x:v>
      </x:c>
      <x:c r="O111" s="12" t="str">
        <x:v>USDA SR28 recorded measures; edible grams. Sizes and brands vary.</x:v>
      </x:c>
    </x:row>
    <x:row r="112" ht="62" customHeight="1">
      <x:c r="A112" s="10" t="n">
        <x:v>98</x:v>
      </x:c>
      <x:c r="B112" s="10" t="str">
        <x:v>Tuna, light, canned in water, drained</x:v>
      </x:c>
      <x:c r="C112" s="10" t="str">
        <x:v>USDA SR28 (2015)</x:v>
      </x:c>
      <x:c r="D112" s="10" t="str">
        <x:v>NDB 15121</x:v>
      </x:c>
      <x:c r="E112" s="10" t="str">
        <x:v>Fish, tuna, light, canned in water, drained solids</x:v>
      </x:c>
      <x:c r="F112" s="18" t="n">
        <x:v>19.44</x:v>
      </x:c>
      <x:c r="G112" s="18" t="n">
        <x:v>0</x:v>
      </x:c>
      <x:c r="H112" s="18" t="n">
        <x:v>0.96</x:v>
      </x:c>
      <x:c r="I112" s="18" t="n">
        <x:v>0</x:v>
      </x:c>
      <x:c r="J112" s="18" t="n">
        <x:v>86</x:v>
      </x:c>
      <x:c r="K112" s="10" t="str">
        <x:v>kcal</x:v>
      </x:c>
      <x:c r="L112" s="10" t="str">
        <x:v>https://fdc.nal.usda.gov/</x:v>
      </x:c>
      <x:c r="M112" s="10" t="str">
        <x:v>SR28 record 15121; nutrients 203,205,204,208; weight table</x:v>
      </x:c>
      <x:c r="N112" s="10" t="str">
        <x:v>Carbs = USDA total carbohydrate. Generic reference, not an Indian brand label.</x:v>
      </x:c>
      <x:c r="O112" s="10" t="str">
        <x:v>USDA SR28 recorded measures; edible grams. Sizes and brands vary.</x:v>
      </x:c>
    </x:row>
    <x:row r="113" ht="62" customHeight="1">
      <x:c r="A113" s="12" t="n">
        <x:v>99</x:v>
      </x:c>
      <x:c r="B113" s="12" t="str">
        <x:v>Prawns / shrimp, cooked with moist heat</x:v>
      </x:c>
      <x:c r="C113" s="12" t="str">
        <x:v>USDA SR28 (2015)</x:v>
      </x:c>
      <x:c r="D113" s="12" t="str">
        <x:v>NDB 15151</x:v>
      </x:c>
      <x:c r="E113" s="12" t="str">
        <x:v>Crustaceans, shrimp, mixed species, cooked, moist heat (may have been previously frozen)</x:v>
      </x:c>
      <x:c r="F113" s="20" t="n">
        <x:v>22.78</x:v>
      </x:c>
      <x:c r="G113" s="20" t="n">
        <x:v>1.52</x:v>
      </x:c>
      <x:c r="H113" s="20" t="n">
        <x:v>1.7</x:v>
      </x:c>
      <x:c r="I113" s="20" t="n">
        <x:v>0</x:v>
      </x:c>
      <x:c r="J113" s="20" t="n">
        <x:v>119</x:v>
      </x:c>
      <x:c r="K113" s="12" t="str">
        <x:v>kcal</x:v>
      </x:c>
      <x:c r="L113" s="12" t="str">
        <x:v>https://fdc.nal.usda.gov/</x:v>
      </x:c>
      <x:c r="M113" s="12" t="str">
        <x:v>SR28 record 15151; nutrients 203,205,204,208; weight table</x:v>
      </x:c>
      <x:c r="N113" s="12" t="str">
        <x:v>Carbs = USDA total carbohydrate. Generic reference, not an Indian brand label.</x:v>
      </x:c>
      <x:c r="O113" s="12" t="str">
        <x:v>USDA SR28 recorded measures; edible grams. Sizes and brands vary.</x:v>
      </x:c>
    </x:row>
    <x:row r="114" ht="62" customHeight="1">
      <x:c r="A114" s="10" t="n">
        <x:v>100</x:v>
      </x:c>
      <x:c r="B114" s="10" t="str">
        <x:v>Blue crab meat, cooked with moist heat</x:v>
      </x:c>
      <x:c r="C114" s="10" t="str">
        <x:v>USDA SR28 (2015)</x:v>
      </x:c>
      <x:c r="D114" s="10" t="str">
        <x:v>NDB 15140</x:v>
      </x:c>
      <x:c r="E114" s="10" t="str">
        <x:v>Crustaceans, crab, blue, cooked, moist heat</x:v>
      </x:c>
      <x:c r="F114" s="18" t="n">
        <x:v>17.88</x:v>
      </x:c>
      <x:c r="G114" s="18" t="n">
        <x:v>0</x:v>
      </x:c>
      <x:c r="H114" s="18" t="n">
        <x:v>0.74</x:v>
      </x:c>
      <x:c r="I114" s="18" t="n">
        <x:v>0</x:v>
      </x:c>
      <x:c r="J114" s="18" t="n">
        <x:v>83</x:v>
      </x:c>
      <x:c r="K114" s="10" t="str">
        <x:v>kcal</x:v>
      </x:c>
      <x:c r="L114" s="10" t="str">
        <x:v>https://fdc.nal.usda.gov/</x:v>
      </x:c>
      <x:c r="M114" s="10" t="str">
        <x:v>SR28 record 15140; nutrients 203,205,204,208; weight table</x:v>
      </x:c>
      <x:c r="N114" s="10" t="str">
        <x:v>Carbs = USDA total carbohydrate. Generic reference, not an Indian brand label.</x:v>
      </x:c>
      <x:c r="O114" s="10" t="str">
        <x:v>USDA SR28 recorded measures; edible grams. Sizes and brands vary.</x:v>
      </x:c>
    </x:row>
  </x:sheetData>
  <x:pageMargins left="0.7" right="0.7" top="0.75" bottom="0.75" header="0.3" footer="0.3"/>
  <x:tableParts count="1">
    <x:tablePart xmlns:r="http://schemas.openxmlformats.org/officeDocument/2006/relationships" r:id="Rac76c3bb932d4c4b"/>
  </x:tableParts>
</x:worksheet>
</file>